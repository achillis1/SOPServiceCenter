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90" windowWidth="20025" windowHeight="8100"/>
  </bookViews>
  <sheets>
    <sheet name="Sheet1" sheetId="1" r:id="rId1"/>
    <sheet name="Data" sheetId="5" r:id="rId2"/>
    <sheet name="Sponsor" sheetId="4" r:id="rId3"/>
    <sheet name="Sheet2" sheetId="2" r:id="rId4"/>
    <sheet name="Sheet3" sheetId="3" r:id="rId5"/>
  </sheets>
  <functionGroups builtInGroupCount="17"/>
  <externalReferences>
    <externalReference r:id="rId6"/>
    <externalReference r:id="rId7"/>
  </externalReferences>
  <definedNames>
    <definedName name="_xlnm._FilterDatabase" localSheetId="1" hidden="1">Data!$A$1:$Z$33</definedName>
    <definedName name="_xlnm._FilterDatabase" localSheetId="2" hidden="1">Sponsor!$A$1:$Q$500</definedName>
    <definedName name="ProposedFixtureList">OFFSET('[1]Cut Sheets'!$AI$2,,,'[1]Cut Sheets'!$B$9,)</definedName>
    <definedName name="SType">'[2]Customer Information'!$K$9</definedName>
  </definedNames>
  <calcPr calcId="144525"/>
</workbook>
</file>

<file path=xl/calcChain.xml><?xml version="1.0" encoding="utf-8"?>
<calcChain xmlns="http://schemas.openxmlformats.org/spreadsheetml/2006/main">
  <c r="AF1" i="5" l="1"/>
  <c r="AG1" i="5" s="1"/>
  <c r="AH1" i="5" s="1"/>
  <c r="AI1" i="5" s="1"/>
  <c r="AJ1" i="5" s="1"/>
  <c r="AK1" i="5" s="1"/>
  <c r="AL1" i="5" s="1"/>
  <c r="AM1" i="5" s="1"/>
  <c r="AN1" i="5" s="1"/>
  <c r="AO1" i="5" s="1"/>
  <c r="AP1" i="5" s="1"/>
  <c r="AQ1" i="5" s="1"/>
  <c r="AR1" i="5" s="1"/>
  <c r="AS1" i="5" s="1"/>
  <c r="AT1" i="5" s="1"/>
  <c r="AU1" i="5" s="1"/>
  <c r="AV1" i="5" s="1"/>
  <c r="AW1" i="5" s="1"/>
  <c r="AX1" i="5" s="1"/>
  <c r="AD1" i="5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" i="4"/>
</calcChain>
</file>

<file path=xl/sharedStrings.xml><?xml version="1.0" encoding="utf-8"?>
<sst xmlns="http://schemas.openxmlformats.org/spreadsheetml/2006/main" count="6471" uniqueCount="3801">
  <si>
    <t>Sponsor ID</t>
  </si>
  <si>
    <t>Federal Tax ID/SSN</t>
  </si>
  <si>
    <t>Company Name</t>
  </si>
  <si>
    <t>Parent Company</t>
  </si>
  <si>
    <t>Parent Company Federal Tax ID/Number</t>
  </si>
  <si>
    <t>Contact First Name</t>
  </si>
  <si>
    <t>Contact Last Name</t>
  </si>
  <si>
    <t>Contact Title</t>
  </si>
  <si>
    <t>Contact Address 1</t>
  </si>
  <si>
    <t>Contact Address 2</t>
  </si>
  <si>
    <t>City</t>
  </si>
  <si>
    <t>State</t>
  </si>
  <si>
    <t>Zip</t>
  </si>
  <si>
    <t>Phone</t>
  </si>
  <si>
    <t>Fax</t>
  </si>
  <si>
    <t>Email</t>
  </si>
  <si>
    <t>125-52-3457</t>
  </si>
  <si>
    <t>2555 Central Parkway LLC</t>
  </si>
  <si>
    <t>Chris</t>
  </si>
  <si>
    <t>Shaw</t>
  </si>
  <si>
    <t>Intern</t>
  </si>
  <si>
    <t xml:space="preserve">2555 Central Pkwy, </t>
  </si>
  <si>
    <t>Houston</t>
  </si>
  <si>
    <t>TX</t>
  </si>
  <si>
    <t>713-977-5400</t>
  </si>
  <si>
    <t>chriss@seeberger.com</t>
  </si>
  <si>
    <t>27-1673193</t>
  </si>
  <si>
    <t>2555 Central Parkway</t>
  </si>
  <si>
    <t>75-2848170</t>
  </si>
  <si>
    <t>3010 Briarpark Tenant, LP</t>
  </si>
  <si>
    <t>Jason</t>
  </si>
  <si>
    <t>Mock</t>
  </si>
  <si>
    <t>Building Operations Manager</t>
  </si>
  <si>
    <t xml:space="preserve">3010 Briarpark </t>
  </si>
  <si>
    <t>Suite 190</t>
  </si>
  <si>
    <t>281-647-9223</t>
  </si>
  <si>
    <t>jmock@streamrealty.com</t>
  </si>
  <si>
    <t>41-0417775</t>
  </si>
  <si>
    <t>3M</t>
  </si>
  <si>
    <t xml:space="preserve">Rick </t>
  </si>
  <si>
    <t>Knight</t>
  </si>
  <si>
    <t>3M Territory Manager</t>
  </si>
  <si>
    <t>4450 West 12th St</t>
  </si>
  <si>
    <t>713-376-9675</t>
  </si>
  <si>
    <t>rknight@mmm.com</t>
  </si>
  <si>
    <t>27-2896620</t>
  </si>
  <si>
    <t>411 Energy Inc.</t>
  </si>
  <si>
    <t>Mandy</t>
  </si>
  <si>
    <t>Weeks</t>
  </si>
  <si>
    <t>Executive</t>
  </si>
  <si>
    <t>5828 Ashleyanne Circle Suite 100</t>
  </si>
  <si>
    <t>Wichita Falls</t>
  </si>
  <si>
    <t>940-228-0124</t>
  </si>
  <si>
    <t>mandy@411NRG.com</t>
  </si>
  <si>
    <t>00-0000000</t>
  </si>
  <si>
    <t>500 McKinney Avenue</t>
  </si>
  <si>
    <t>Humberto</t>
  </si>
  <si>
    <t>Bautista</t>
  </si>
  <si>
    <t>Chief Engineer</t>
  </si>
  <si>
    <t xml:space="preserve">500 McKinney Ave </t>
  </si>
  <si>
    <t>77002-2534</t>
  </si>
  <si>
    <t>832-393-8027</t>
  </si>
  <si>
    <t>humberto.bautista@houstontx.gov</t>
  </si>
  <si>
    <t>27-3983793</t>
  </si>
  <si>
    <t>806 Main Hotel Group</t>
  </si>
  <si>
    <t>Pearl Hospitality</t>
  </si>
  <si>
    <t xml:space="preserve">Kris </t>
  </si>
  <si>
    <t>Harris</t>
  </si>
  <si>
    <t>Project Manager</t>
  </si>
  <si>
    <t>801 Travis</t>
  </si>
  <si>
    <t>Ste. 100</t>
  </si>
  <si>
    <t>713-224-8999</t>
  </si>
  <si>
    <t>713-224-7999</t>
  </si>
  <si>
    <t>kharris@pearlhospitality.com</t>
  </si>
  <si>
    <t>20-3377128</t>
  </si>
  <si>
    <t>A to Z Building Inspection Services</t>
  </si>
  <si>
    <t>Bill</t>
  </si>
  <si>
    <t>Loftus</t>
  </si>
  <si>
    <t>Owner</t>
  </si>
  <si>
    <t>6790 Cutten Parkway</t>
  </si>
  <si>
    <t>713-253-1259</t>
  </si>
  <si>
    <t>houstoninfrared@gmail.com</t>
  </si>
  <si>
    <t>76-0590293</t>
  </si>
  <si>
    <t>A&amp;L VALVE AND FITTING LP</t>
  </si>
  <si>
    <t>ANTHONY</t>
  </si>
  <si>
    <t>LUPRETE</t>
  </si>
  <si>
    <t>OWNER</t>
  </si>
  <si>
    <t xml:space="preserve">8550 HANSEN RD. SUITE A </t>
  </si>
  <si>
    <t>HOUSTON</t>
  </si>
  <si>
    <t>713-643-4400</t>
  </si>
  <si>
    <t>ANTHONY@ALVALVE.COM</t>
  </si>
  <si>
    <t>17-4319974</t>
  </si>
  <si>
    <t>a1 energy</t>
  </si>
  <si>
    <t>74-3199748</t>
  </si>
  <si>
    <t>gaurang</t>
  </si>
  <si>
    <t>jariwala</t>
  </si>
  <si>
    <t>owner</t>
  </si>
  <si>
    <t>2102 bay hill dr.</t>
  </si>
  <si>
    <t>League City</t>
  </si>
  <si>
    <t>832-646-5610</t>
  </si>
  <si>
    <t>gkjariwala@gmail.com</t>
  </si>
  <si>
    <t>123-45-6789</t>
  </si>
  <si>
    <t>Aaahlens inc</t>
  </si>
  <si>
    <t>Kumar</t>
  </si>
  <si>
    <t>Sirangi</t>
  </si>
  <si>
    <t>Mr</t>
  </si>
  <si>
    <t>307 Duncan St</t>
  </si>
  <si>
    <t>Irving</t>
  </si>
  <si>
    <t>479-799-7704</t>
  </si>
  <si>
    <t>sir.ravs84@yahoo.com</t>
  </si>
  <si>
    <t>26-3832186</t>
  </si>
  <si>
    <t>Abaco Lighting</t>
  </si>
  <si>
    <t>Jeff</t>
  </si>
  <si>
    <t>Maxwell</t>
  </si>
  <si>
    <t>Operations Manager</t>
  </si>
  <si>
    <t>2411 NW 16 Lane #5</t>
  </si>
  <si>
    <t>Pompano Beach</t>
  </si>
  <si>
    <t>FL</t>
  </si>
  <si>
    <t>877-337-4123</t>
  </si>
  <si>
    <t>jmaxwell@abacolighting.com</t>
  </si>
  <si>
    <t>32-0072114</t>
  </si>
  <si>
    <t>Acclaim Energy Advisors</t>
  </si>
  <si>
    <t>Ryk</t>
  </si>
  <si>
    <t>Holden</t>
  </si>
  <si>
    <t>Sr. VP</t>
  </si>
  <si>
    <t>Two Riverway, Suite 800</t>
  </si>
  <si>
    <t>713-589-4084</t>
  </si>
  <si>
    <t>rholden@acclaimenenergy.com</t>
  </si>
  <si>
    <t>77-0116487</t>
  </si>
  <si>
    <t>Accor North America</t>
  </si>
  <si>
    <t>Sujita</t>
  </si>
  <si>
    <t>Jackson</t>
  </si>
  <si>
    <t>Energy and Environment Analyst</t>
  </si>
  <si>
    <t>4001 International Pkwy</t>
  </si>
  <si>
    <t>Carrollton</t>
  </si>
  <si>
    <t>972-360-5802</t>
  </si>
  <si>
    <t>sjackson@accor-na.com</t>
  </si>
  <si>
    <t>17-4183470</t>
  </si>
  <si>
    <t xml:space="preserve">Ace Mart Restaurant Supply Company </t>
  </si>
  <si>
    <t>Stephanie</t>
  </si>
  <si>
    <t>McFarland</t>
  </si>
  <si>
    <t>Administrative Assistant</t>
  </si>
  <si>
    <t xml:space="preserve">2653 Austin Highway </t>
  </si>
  <si>
    <t>San Antonio</t>
  </si>
  <si>
    <t>210-323-4439</t>
  </si>
  <si>
    <t>210-323-4404</t>
  </si>
  <si>
    <t>smcfarland@acemart.com</t>
  </si>
  <si>
    <t>91-1774706</t>
  </si>
  <si>
    <t>ACES Carbon Monoxide Detection Systems</t>
  </si>
  <si>
    <t>AC Energy Systems, Inc.</t>
  </si>
  <si>
    <t>Maybeth</t>
  </si>
  <si>
    <t>Rothery</t>
  </si>
  <si>
    <t>224 Birmingham Dr</t>
  </si>
  <si>
    <t>1A2</t>
  </si>
  <si>
    <t>Cardiff</t>
  </si>
  <si>
    <t>CA</t>
  </si>
  <si>
    <t>760-436-2116</t>
  </si>
  <si>
    <t>760-436-6355</t>
  </si>
  <si>
    <t>maybeth@acenergysystems.com</t>
  </si>
  <si>
    <t>74-2077948</t>
  </si>
  <si>
    <t>ACR Engineering, Inc.</t>
  </si>
  <si>
    <t xml:space="preserve">Rajesh </t>
  </si>
  <si>
    <t>Kapileshwari</t>
  </si>
  <si>
    <t>Senior Engineer</t>
  </si>
  <si>
    <t>907 S. Congress Ave.</t>
  </si>
  <si>
    <t>Austin</t>
  </si>
  <si>
    <t>832-266-8346</t>
  </si>
  <si>
    <t>512-440-8328</t>
  </si>
  <si>
    <t>rajesh@acreng.com</t>
  </si>
  <si>
    <t>87-0432946</t>
  </si>
  <si>
    <t xml:space="preserve">Advanced Lighting, Inc. </t>
  </si>
  <si>
    <t>Paula</t>
  </si>
  <si>
    <t>Christensen</t>
  </si>
  <si>
    <t xml:space="preserve">Accountant </t>
  </si>
  <si>
    <t>3099 South 1030 West</t>
  </si>
  <si>
    <t>Salt Lake City</t>
  </si>
  <si>
    <t>UT</t>
  </si>
  <si>
    <t>801-972-9530</t>
  </si>
  <si>
    <t>801-746-0089</t>
  </si>
  <si>
    <t>76-0437513</t>
  </si>
  <si>
    <t>Advanced Technologies, Inc.</t>
  </si>
  <si>
    <t>Fleitman Industries</t>
  </si>
  <si>
    <t>75-2985176</t>
  </si>
  <si>
    <t xml:space="preserve">Todd </t>
  </si>
  <si>
    <t>Stonebraker</t>
  </si>
  <si>
    <t>Vice President</t>
  </si>
  <si>
    <t>13105 NW FWY</t>
  </si>
  <si>
    <t>Suite 690</t>
  </si>
  <si>
    <t>713-896-6990</t>
  </si>
  <si>
    <t>713-896-6992</t>
  </si>
  <si>
    <t>tstonebraker@advtechinc.com</t>
  </si>
  <si>
    <t>20-3962952</t>
  </si>
  <si>
    <t>Aelux</t>
  </si>
  <si>
    <t>Robert</t>
  </si>
  <si>
    <t>Hoover</t>
  </si>
  <si>
    <t>Rebate Admin</t>
  </si>
  <si>
    <t>115 West Ave, Suite 204</t>
  </si>
  <si>
    <t>Jenkintown</t>
  </si>
  <si>
    <t>PA</t>
  </si>
  <si>
    <t>267-627-1711</t>
  </si>
  <si>
    <t>215-576-1249</t>
  </si>
  <si>
    <t>rhoover@aelux.com</t>
  </si>
  <si>
    <t>458-27-1000</t>
  </si>
  <si>
    <t>AEP Texas</t>
  </si>
  <si>
    <t>Gary</t>
  </si>
  <si>
    <t>Throckmorton</t>
  </si>
  <si>
    <t>Program Coordinator</t>
  </si>
  <si>
    <t>910 Energy Dr.</t>
  </si>
  <si>
    <t>Abilene</t>
  </si>
  <si>
    <t>325-674-7341</t>
  </si>
  <si>
    <t>gjthrockmorton@aep.com</t>
  </si>
  <si>
    <t>27-0096130</t>
  </si>
  <si>
    <t>Air Liquide Large Industries U.S. LP</t>
  </si>
  <si>
    <t>Karbach</t>
  </si>
  <si>
    <t>Investment Development Manager</t>
  </si>
  <si>
    <t>2700 Post Oak Blvd.</t>
  </si>
  <si>
    <t>713-402-2358</t>
  </si>
  <si>
    <t>713-624-8350</t>
  </si>
  <si>
    <t>bill.phillips@airliquide.com</t>
  </si>
  <si>
    <t>17-5184990</t>
  </si>
  <si>
    <t>Air Performance Service, Inc.</t>
  </si>
  <si>
    <t>Jarrod</t>
  </si>
  <si>
    <t>Ambrose</t>
  </si>
  <si>
    <t>Sales Associate</t>
  </si>
  <si>
    <t>11921 Windfern Rd</t>
  </si>
  <si>
    <t>713-979-0720</t>
  </si>
  <si>
    <t>JAmbrose@airperformance.com</t>
  </si>
  <si>
    <t>30-0010741</t>
  </si>
  <si>
    <t>Air Texas Mechanical, Inc.</t>
  </si>
  <si>
    <t>Billy</t>
  </si>
  <si>
    <t>Long</t>
  </si>
  <si>
    <t>Commercial Account Manager</t>
  </si>
  <si>
    <t>1724 Townhurst Drive</t>
  </si>
  <si>
    <t>281-987-0665</t>
  </si>
  <si>
    <t>281-985-0824</t>
  </si>
  <si>
    <t>blong@airtexasmechanical.com</t>
  </si>
  <si>
    <t>27-4101040</t>
  </si>
  <si>
    <t>Air Wind &amp; Solar</t>
  </si>
  <si>
    <t>Eric</t>
  </si>
  <si>
    <t>Graff</t>
  </si>
  <si>
    <t>CFO</t>
  </si>
  <si>
    <t xml:space="preserve">6320 US HWY 377 S </t>
  </si>
  <si>
    <t>Stephenville</t>
  </si>
  <si>
    <t>866-865-5084</t>
  </si>
  <si>
    <t>eric@airwindsolar.com</t>
  </si>
  <si>
    <t>27-1219083</t>
  </si>
  <si>
    <t>Alliance Energy Solutions</t>
  </si>
  <si>
    <t>Grainger Service Holding Company</t>
  </si>
  <si>
    <t>Dodson</t>
  </si>
  <si>
    <t>Deal Manager</t>
  </si>
  <si>
    <t>5011 Rittiman Rd</t>
  </si>
  <si>
    <t xml:space="preserve"> </t>
  </si>
  <si>
    <t>830-832-3540</t>
  </si>
  <si>
    <t>210/654-0114</t>
  </si>
  <si>
    <t>jeff.dodson@grainger.com</t>
  </si>
  <si>
    <t>264-06-2242</t>
  </si>
  <si>
    <t>Jay</t>
  </si>
  <si>
    <t>Pickhaver</t>
  </si>
  <si>
    <t>Energy Consultant</t>
  </si>
  <si>
    <t>6402 Encenada Green Trail</t>
  </si>
  <si>
    <t>Kingwood</t>
  </si>
  <si>
    <t>832-250-4820</t>
  </si>
  <si>
    <t>jay.pickhaver@alliance-energy.net</t>
  </si>
  <si>
    <t>45-0562195</t>
  </si>
  <si>
    <t>Alternative Power Solutions</t>
  </si>
  <si>
    <t>N/A</t>
  </si>
  <si>
    <t>Donovan</t>
  </si>
  <si>
    <t>Dawson</t>
  </si>
  <si>
    <t>Project Development</t>
  </si>
  <si>
    <t>15150 Sommermeyer</t>
  </si>
  <si>
    <t>Suite 100</t>
  </si>
  <si>
    <t>877-861-3061</t>
  </si>
  <si>
    <t>donovan.dawson@apowersolutions.com</t>
  </si>
  <si>
    <t>48-1206049</t>
  </si>
  <si>
    <t>American Energy Solutions, Inc.</t>
  </si>
  <si>
    <t>Denise</t>
  </si>
  <si>
    <t>Martin</t>
  </si>
  <si>
    <t>Account Manager</t>
  </si>
  <si>
    <t>10601 Mission Road, Suite 210</t>
  </si>
  <si>
    <t>Leawood</t>
  </si>
  <si>
    <t>KS</t>
  </si>
  <si>
    <t>913-433-7815</t>
  </si>
  <si>
    <t>913-433-7801</t>
  </si>
  <si>
    <t>dmartin@americanenergy.com</t>
  </si>
  <si>
    <t>74-2240238</t>
  </si>
  <si>
    <t>American Light</t>
  </si>
  <si>
    <t>Ryan</t>
  </si>
  <si>
    <t>Castleman</t>
  </si>
  <si>
    <t>Division  Manager</t>
  </si>
  <si>
    <t>5091 Steadmont</t>
  </si>
  <si>
    <t>713-462-6258</t>
  </si>
  <si>
    <t>713-462-6282</t>
  </si>
  <si>
    <t>ryan.castleman@fsgi.com</t>
  </si>
  <si>
    <t>221-40-6993</t>
  </si>
  <si>
    <t>Facility Solutions Group</t>
  </si>
  <si>
    <t>Bob</t>
  </si>
  <si>
    <t>Beach</t>
  </si>
  <si>
    <t>Energy Services Project Specialist</t>
  </si>
  <si>
    <t>11222 Pinehurst Dr</t>
  </si>
  <si>
    <t>512-699-8416</t>
  </si>
  <si>
    <t>651-331-5336</t>
  </si>
  <si>
    <t>bobb@fsgconnect.com</t>
  </si>
  <si>
    <t>95-1864029</t>
  </si>
  <si>
    <t>Amtech Lighting Services</t>
  </si>
  <si>
    <t xml:space="preserve">Camille </t>
  </si>
  <si>
    <t>LaRoe</t>
  </si>
  <si>
    <t>Senior Account Representative</t>
  </si>
  <si>
    <t>8101 Pinemont</t>
  </si>
  <si>
    <t>713-690-6677</t>
  </si>
  <si>
    <t>claroe@abm.com</t>
  </si>
  <si>
    <t>20-2125682</t>
  </si>
  <si>
    <t>Apollo BBC</t>
  </si>
  <si>
    <t>Tim</t>
  </si>
  <si>
    <t>Murray</t>
  </si>
  <si>
    <t>Sustainability Director</t>
  </si>
  <si>
    <t>5116 Bissonnet, #262</t>
  </si>
  <si>
    <t>Bellaire</t>
  </si>
  <si>
    <t>713-869-0000</t>
  </si>
  <si>
    <t>tmurray@apollobbc.com</t>
  </si>
  <si>
    <t>04-3077744</t>
  </si>
  <si>
    <t>Aqualine Resources, Inc.</t>
  </si>
  <si>
    <t>Barry</t>
  </si>
  <si>
    <t>Fleischer</t>
  </si>
  <si>
    <t>Director of Sales Development</t>
  </si>
  <si>
    <t>77 Rumford MA</t>
  </si>
  <si>
    <t>Suite 1</t>
  </si>
  <si>
    <t xml:space="preserve">Waltham </t>
  </si>
  <si>
    <t>MA</t>
  </si>
  <si>
    <t>781-392-3410</t>
  </si>
  <si>
    <t>781-894-5455</t>
  </si>
  <si>
    <t>bfleischer@aqualine-resources.com</t>
  </si>
  <si>
    <t>14-1234123</t>
  </si>
  <si>
    <t>asdf</t>
  </si>
  <si>
    <t>safd</t>
  </si>
  <si>
    <t>asfd</t>
  </si>
  <si>
    <t>234-234-2342</t>
  </si>
  <si>
    <t>asdf@asdf</t>
  </si>
  <si>
    <t>75-1912404</t>
  </si>
  <si>
    <t>Assa Abloy Hospitality</t>
  </si>
  <si>
    <t>David</t>
  </si>
  <si>
    <t>Nowak</t>
  </si>
  <si>
    <t>Director EMS, Sales &amp; Business Development</t>
  </si>
  <si>
    <t>631 International Parkway</t>
  </si>
  <si>
    <t>Richardson</t>
  </si>
  <si>
    <t>972-692-3173</t>
  </si>
  <si>
    <t>dnowak@vcegroup.com</t>
  </si>
  <si>
    <t>80-0612286</t>
  </si>
  <si>
    <t>Aureole Lighting</t>
  </si>
  <si>
    <t>Aureole Li</t>
  </si>
  <si>
    <t>John</t>
  </si>
  <si>
    <t>Economou</t>
  </si>
  <si>
    <t>Managing Partner</t>
  </si>
  <si>
    <t>784 Oak Creek Drive</t>
  </si>
  <si>
    <t>Lombard</t>
  </si>
  <si>
    <t>IL</t>
  </si>
  <si>
    <t>630-967-6315</t>
  </si>
  <si>
    <t>jeconomou@aureoleled.com</t>
  </si>
  <si>
    <t>456-74-6581</t>
  </si>
  <si>
    <t>AutoLite</t>
  </si>
  <si>
    <t>Chad</t>
  </si>
  <si>
    <t>Jacobsen</t>
  </si>
  <si>
    <t>120 Texas Ave.</t>
  </si>
  <si>
    <t>77573-4214</t>
  </si>
  <si>
    <t>832-289-2654</t>
  </si>
  <si>
    <t>1-877-680-7772</t>
  </si>
  <si>
    <t>cj@uenergys.com</t>
  </si>
  <si>
    <t>82-0540614</t>
  </si>
  <si>
    <t>Automated Logic / United Environmental Services</t>
  </si>
  <si>
    <t>Kirk</t>
  </si>
  <si>
    <t>Vaughn</t>
  </si>
  <si>
    <t>Business Development Manager</t>
  </si>
  <si>
    <t>4107 New West Drive</t>
  </si>
  <si>
    <t>Pasadena</t>
  </si>
  <si>
    <t>281-837-4132</t>
  </si>
  <si>
    <t>281-837-1123</t>
  </si>
  <si>
    <t>kirkv@uescontrols.com</t>
  </si>
  <si>
    <t>76-0444883</t>
  </si>
  <si>
    <t>AutoNation</t>
  </si>
  <si>
    <t>Nicholas</t>
  </si>
  <si>
    <t>Stauder</t>
  </si>
  <si>
    <t>7892 W. Grand River</t>
  </si>
  <si>
    <t>Brighton</t>
  </si>
  <si>
    <t>MI</t>
  </si>
  <si>
    <t>810-227-3377</t>
  </si>
  <si>
    <t>810-227-3399</t>
  </si>
  <si>
    <t>nstauder@edssenergy.com</t>
  </si>
  <si>
    <t>74-1597657</t>
  </si>
  <si>
    <t>B S P Marketing, LP</t>
  </si>
  <si>
    <t xml:space="preserve">Sam </t>
  </si>
  <si>
    <t>Dimiceli</t>
  </si>
  <si>
    <t>Manager</t>
  </si>
  <si>
    <t>10702 Cash Road</t>
  </si>
  <si>
    <t>Stafford</t>
  </si>
  <si>
    <t>281-277-9696</t>
  </si>
  <si>
    <t>281-277-9691</t>
  </si>
  <si>
    <t>dimiceli@bspmarkeitng.com</t>
  </si>
  <si>
    <t>26-0763392</t>
  </si>
  <si>
    <t>B&amp;MS Construction, INC</t>
  </si>
  <si>
    <t>Kevin</t>
  </si>
  <si>
    <t>Thompson</t>
  </si>
  <si>
    <t>Office Manger</t>
  </si>
  <si>
    <t>406 Deats Rd.</t>
  </si>
  <si>
    <t>Dickinson</t>
  </si>
  <si>
    <t>832-738-1541</t>
  </si>
  <si>
    <t>281-337-6986</t>
  </si>
  <si>
    <t>kevin.thompson@bmsconstruction.net</t>
  </si>
  <si>
    <t>46-1288108</t>
  </si>
  <si>
    <t>B3 Energy Consulting</t>
  </si>
  <si>
    <t>Keith</t>
  </si>
  <si>
    <t>Bass</t>
  </si>
  <si>
    <t>16806 S. Lighthouse Dr</t>
  </si>
  <si>
    <t>Crosby</t>
  </si>
  <si>
    <t>512-944-3024</t>
  </si>
  <si>
    <t>kbass@b3econsulting.com</t>
  </si>
  <si>
    <t>450-84-9775</t>
  </si>
  <si>
    <t>Baker Hughes</t>
  </si>
  <si>
    <t>BHI</t>
  </si>
  <si>
    <t>94-1302886</t>
  </si>
  <si>
    <t>Richard</t>
  </si>
  <si>
    <t>Horridge</t>
  </si>
  <si>
    <t>Corporate Manager of Facilities</t>
  </si>
  <si>
    <t>9100 Emmott Road</t>
  </si>
  <si>
    <t>713-466-2912</t>
  </si>
  <si>
    <t>713-849-8767</t>
  </si>
  <si>
    <t>Richard.Horridge@bakerhughes.com</t>
  </si>
  <si>
    <t>Baker Hughes, Inc</t>
  </si>
  <si>
    <t>Jared</t>
  </si>
  <si>
    <t>Hothan</t>
  </si>
  <si>
    <t>Facility manager</t>
  </si>
  <si>
    <t>2001 Rankin Raod</t>
  </si>
  <si>
    <t>713-879-3860</t>
  </si>
  <si>
    <t>Jared.Hothan@bakerhughes.com</t>
  </si>
  <si>
    <t>435-23-6210</t>
  </si>
  <si>
    <t>Bambu Energy</t>
  </si>
  <si>
    <t>Douglas</t>
  </si>
  <si>
    <t>Barkley</t>
  </si>
  <si>
    <t>President</t>
  </si>
  <si>
    <t>3100 Main Street</t>
  </si>
  <si>
    <t>Suite 237</t>
  </si>
  <si>
    <t>Dallas</t>
  </si>
  <si>
    <t>469-371-4663</t>
  </si>
  <si>
    <t>dbarkley@bambu-energy.com</t>
  </si>
  <si>
    <t>74-2225928</t>
  </si>
  <si>
    <t>Barnes and Noble</t>
  </si>
  <si>
    <t>Silverstein</t>
  </si>
  <si>
    <t>Director, Store Design</t>
  </si>
  <si>
    <t>120 Fifth Ave</t>
  </si>
  <si>
    <t>New York</t>
  </si>
  <si>
    <t>NY</t>
  </si>
  <si>
    <t>212-633-3518</t>
  </si>
  <si>
    <t>212-633-2088</t>
  </si>
  <si>
    <t>jsilverstein@bn.com</t>
  </si>
  <si>
    <t>76-0002625</t>
  </si>
  <si>
    <t>Bee Electrical L.P.</t>
  </si>
  <si>
    <t>Josh</t>
  </si>
  <si>
    <t>Shelton</t>
  </si>
  <si>
    <t>8105 Almeda Genoa Rd</t>
  </si>
  <si>
    <t>713-991-5875</t>
  </si>
  <si>
    <t>713-991-4737</t>
  </si>
  <si>
    <t>Jshelton@beeelectrical.com</t>
  </si>
  <si>
    <t>75-2737223</t>
  </si>
  <si>
    <t>Ben E Keith Foods</t>
  </si>
  <si>
    <t>Ben E Keith Company</t>
  </si>
  <si>
    <t>Fershtand</t>
  </si>
  <si>
    <t>Director of Fleet and Energy</t>
  </si>
  <si>
    <t>7600 Will Rogers Blvd</t>
  </si>
  <si>
    <t>Fort Worth</t>
  </si>
  <si>
    <t>817-749-6824</t>
  </si>
  <si>
    <t>817-759-6886</t>
  </si>
  <si>
    <t>jbfershtand@benekeith.com</t>
  </si>
  <si>
    <t>04-2748604</t>
  </si>
  <si>
    <t>Bertling Logistics</t>
  </si>
  <si>
    <t>Bryan</t>
  </si>
  <si>
    <t>Harrison</t>
  </si>
  <si>
    <t>5858 Westhiemer</t>
  </si>
  <si>
    <t>713-882-3567</t>
  </si>
  <si>
    <t>bharrison@kdwltd.com</t>
  </si>
  <si>
    <t>41-1822872</t>
  </si>
  <si>
    <t>Best buy</t>
  </si>
  <si>
    <t>Kimathi</t>
  </si>
  <si>
    <t>Boothe</t>
  </si>
  <si>
    <t>Energy Engineer</t>
  </si>
  <si>
    <t xml:space="preserve">7892 W. Grand River </t>
  </si>
  <si>
    <t>kboothe@edssenergy.com</t>
  </si>
  <si>
    <t>42-1759304</t>
  </si>
  <si>
    <t>BINZ 1001 TEXAS AVE, LLC</t>
  </si>
  <si>
    <t xml:space="preserve">Behrouz </t>
  </si>
  <si>
    <t>Aframian</t>
  </si>
  <si>
    <t>Managing Owner</t>
  </si>
  <si>
    <t xml:space="preserve">640 S Hill St. </t>
  </si>
  <si>
    <t>Suite #352-356</t>
  </si>
  <si>
    <t>California</t>
  </si>
  <si>
    <t>213-623-1444</t>
  </si>
  <si>
    <t>213-623-5511</t>
  </si>
  <si>
    <t>b@binz1001.com</t>
  </si>
  <si>
    <t>BKJ Holdings, LLC</t>
  </si>
  <si>
    <t>Benjamin</t>
  </si>
  <si>
    <t>Jacobson</t>
  </si>
  <si>
    <t>3458 East Fairway Lane</t>
  </si>
  <si>
    <t>Spanish Fork</t>
  </si>
  <si>
    <t>84660</t>
  </si>
  <si>
    <t>801-636-5969</t>
  </si>
  <si>
    <t>bkj.energy@Gmail.com</t>
  </si>
  <si>
    <t>20-4016972</t>
  </si>
  <si>
    <t>Blanco Electric LTD Co</t>
  </si>
  <si>
    <t>Joseph</t>
  </si>
  <si>
    <t>Blanco</t>
  </si>
  <si>
    <t>Service Manager</t>
  </si>
  <si>
    <t>915 Lehman St</t>
  </si>
  <si>
    <t>713-686-6767</t>
  </si>
  <si>
    <t>713-686-7313</t>
  </si>
  <si>
    <t>service@blancoelectric.com</t>
  </si>
  <si>
    <t>457-82-7362</t>
  </si>
  <si>
    <t>BLDW LED Lighting &amp; Installation</t>
  </si>
  <si>
    <t>Janet</t>
  </si>
  <si>
    <t>Asarch</t>
  </si>
  <si>
    <t>VP/Sales &amp; Marketing</t>
  </si>
  <si>
    <t>1826 Chimney Rock</t>
  </si>
  <si>
    <t>713-301-3924</t>
  </si>
  <si>
    <t>jsasarch@sbcglobal.net</t>
  </si>
  <si>
    <t>03-0459115</t>
  </si>
  <si>
    <t>BlueStar Energy</t>
  </si>
  <si>
    <t>Ken</t>
  </si>
  <si>
    <t>Callham</t>
  </si>
  <si>
    <t>363 W Erie Street</t>
  </si>
  <si>
    <t>Suite 700 West</t>
  </si>
  <si>
    <t>Chicago</t>
  </si>
  <si>
    <t>312-890-9969</t>
  </si>
  <si>
    <t>dsmrebates@bluestarenergy.com</t>
  </si>
  <si>
    <t>20-3911172</t>
  </si>
  <si>
    <t>Bluestone Construction, LLC</t>
  </si>
  <si>
    <t>Jim</t>
  </si>
  <si>
    <t>Laswell</t>
  </si>
  <si>
    <t>3600 Chamberlain Lane</t>
  </si>
  <si>
    <t>Suite 232</t>
  </si>
  <si>
    <t>Louisville</t>
  </si>
  <si>
    <t>KY</t>
  </si>
  <si>
    <t>502-254-6089</t>
  </si>
  <si>
    <t>502-254-7257</t>
  </si>
  <si>
    <t>jim.laswell@bluestoneconstruct.com</t>
  </si>
  <si>
    <t>13-3558600</t>
  </si>
  <si>
    <t>BMS Management Inc.</t>
  </si>
  <si>
    <t>Bahman</t>
  </si>
  <si>
    <t>Mozafari</t>
  </si>
  <si>
    <t>4265 San Felipe #550</t>
  </si>
  <si>
    <t>713-875-9394</t>
  </si>
  <si>
    <t>713-621-3222</t>
  </si>
  <si>
    <t>bmozafari@bmsmgmt.com</t>
  </si>
  <si>
    <t>77-0688037</t>
  </si>
  <si>
    <t>Bocci Engineering</t>
  </si>
  <si>
    <t>Lianne</t>
  </si>
  <si>
    <t>Lami</t>
  </si>
  <si>
    <t>CEO</t>
  </si>
  <si>
    <t>12706 Pine Dr.</t>
  </si>
  <si>
    <t>Cypress</t>
  </si>
  <si>
    <t>713-575-2400</t>
  </si>
  <si>
    <t>832-304-2295</t>
  </si>
  <si>
    <t>lianne.lami@bocciengineering.com</t>
  </si>
  <si>
    <t>453-21-2014</t>
  </si>
  <si>
    <t>Boyd Electric Co.</t>
  </si>
  <si>
    <t xml:space="preserve">Richard </t>
  </si>
  <si>
    <t>Boyd</t>
  </si>
  <si>
    <t>24600 Old Creek Lane</t>
  </si>
  <si>
    <t>Hockley</t>
  </si>
  <si>
    <t>936-931-5744</t>
  </si>
  <si>
    <t>936-931-5749</t>
  </si>
  <si>
    <t>rboydelectric@att.net</t>
  </si>
  <si>
    <t>36-3719446</t>
  </si>
  <si>
    <t>Boyd Electric, Inc.</t>
  </si>
  <si>
    <t>Boyd Energ</t>
  </si>
  <si>
    <t>Loredo</t>
  </si>
  <si>
    <t>Senior Project Manager</t>
  </si>
  <si>
    <t>10103 Kitty Ave</t>
  </si>
  <si>
    <t>Chicago Ridge</t>
  </si>
  <si>
    <t>708-952-4500</t>
  </si>
  <si>
    <t>708-952-4572</t>
  </si>
  <si>
    <t>mloredo@boydelectric.com</t>
  </si>
  <si>
    <t>36-3421804</t>
  </si>
  <si>
    <t>BP</t>
  </si>
  <si>
    <t>Sumit</t>
  </si>
  <si>
    <t>Ray</t>
  </si>
  <si>
    <t>Energy Program Manager</t>
  </si>
  <si>
    <t>150 W. Warrenville Road</t>
  </si>
  <si>
    <t>Naperville</t>
  </si>
  <si>
    <t>630-405-3786</t>
  </si>
  <si>
    <t>sumit.ray@bp.com</t>
  </si>
  <si>
    <t>76-0547298</t>
  </si>
  <si>
    <t>Brewer Capital Group</t>
  </si>
  <si>
    <t>Stephen</t>
  </si>
  <si>
    <t>Brewer</t>
  </si>
  <si>
    <t>675 Bering Dr.</t>
  </si>
  <si>
    <t>Suite 650</t>
  </si>
  <si>
    <t>sbrewercapital@gmail.com</t>
  </si>
  <si>
    <t>75-2547105</t>
  </si>
  <si>
    <t>Brincorp</t>
  </si>
  <si>
    <t>boyd</t>
  </si>
  <si>
    <t>brinson</t>
  </si>
  <si>
    <t>vice president</t>
  </si>
  <si>
    <t>12534 westheimer</t>
  </si>
  <si>
    <t>boco999@gmail.com</t>
  </si>
  <si>
    <t>33-1108998</t>
  </si>
  <si>
    <t>Brothers Lighting &amp; Electrical Specialist, Inc.</t>
  </si>
  <si>
    <t>Brendan</t>
  </si>
  <si>
    <t>Diggins</t>
  </si>
  <si>
    <t>3336 Spring Stuebner Rd, Suite P</t>
  </si>
  <si>
    <t>Spring</t>
  </si>
  <si>
    <t>281-444-7737</t>
  </si>
  <si>
    <t>281-444-7720</t>
  </si>
  <si>
    <t>brendan@brotherslighting.com</t>
  </si>
  <si>
    <t>06-1798842</t>
  </si>
  <si>
    <t>Bryan Miller Gallery</t>
  </si>
  <si>
    <t>Miller</t>
  </si>
  <si>
    <t>Mr.</t>
  </si>
  <si>
    <t>3907 Main Street</t>
  </si>
  <si>
    <t>713-430-6438</t>
  </si>
  <si>
    <t>info@bryanmillergallery.com</t>
  </si>
  <si>
    <t>41-1553679</t>
  </si>
  <si>
    <t>Budget Lighting Inc.</t>
  </si>
  <si>
    <t>Juliann</t>
  </si>
  <si>
    <t>Johnson</t>
  </si>
  <si>
    <t>BLI Lighting Specialist</t>
  </si>
  <si>
    <t>15275 Minnetonka Blvd.</t>
  </si>
  <si>
    <t>Minnetonka</t>
  </si>
  <si>
    <t>MN</t>
  </si>
  <si>
    <t>952-939-1714</t>
  </si>
  <si>
    <t>952-933-6443</t>
  </si>
  <si>
    <t>juliann.johnson@budgetlighting.com</t>
  </si>
  <si>
    <t>84-1633941</t>
  </si>
  <si>
    <t xml:space="preserve">Building Energy Solution and Technology </t>
  </si>
  <si>
    <t xml:space="preserve">Jason </t>
  </si>
  <si>
    <t xml:space="preserve">Zhou </t>
  </si>
  <si>
    <t xml:space="preserve">Engineering Director </t>
  </si>
  <si>
    <t>4640 South 59th Street</t>
  </si>
  <si>
    <t>Omaha</t>
  </si>
  <si>
    <t>NE</t>
  </si>
  <si>
    <t>68117-1358</t>
  </si>
  <si>
    <t>402-502-2340</t>
  </si>
  <si>
    <t>(402) 502-2283</t>
  </si>
  <si>
    <t>jzhou@bes-tech.net</t>
  </si>
  <si>
    <t>22-4633782</t>
  </si>
  <si>
    <t>Burlington Coat Factory</t>
  </si>
  <si>
    <t>Burlington Coat Factory Warehouse</t>
  </si>
  <si>
    <t>22-1970303</t>
  </si>
  <si>
    <t>Diane</t>
  </si>
  <si>
    <t>Mandelko</t>
  </si>
  <si>
    <t>Energy Coordinator</t>
  </si>
  <si>
    <t>1830 Route 130 N</t>
  </si>
  <si>
    <t>Burlington</t>
  </si>
  <si>
    <t>NJ</t>
  </si>
  <si>
    <t>609-387-7800</t>
  </si>
  <si>
    <t>609-589-3236</t>
  </si>
  <si>
    <t>diane.mandelko@coat.com</t>
  </si>
  <si>
    <t>Energy Manager</t>
  </si>
  <si>
    <t>1830 Route 130</t>
  </si>
  <si>
    <t>949-547-9636</t>
  </si>
  <si>
    <t>76-0110480</t>
  </si>
  <si>
    <t>Burns DeLatte &amp; McCoy, Inc.</t>
  </si>
  <si>
    <t>same</t>
  </si>
  <si>
    <t>McCoy</t>
  </si>
  <si>
    <t>320 Westcott Street</t>
  </si>
  <si>
    <t>713-861-3016</t>
  </si>
  <si>
    <t>713-861-3067</t>
  </si>
  <si>
    <t>jdmccoy@bdmi-ce.com</t>
  </si>
  <si>
    <t>74-1887135</t>
  </si>
  <si>
    <t>BURY CHPA</t>
  </si>
  <si>
    <t>None</t>
  </si>
  <si>
    <t>Norman</t>
  </si>
  <si>
    <t>Conger</t>
  </si>
  <si>
    <t>Mechanical Dept. Manager</t>
  </si>
  <si>
    <t>7660 Woodway, Suite 400</t>
  </si>
  <si>
    <t>713-977-3430</t>
  </si>
  <si>
    <t>713-977-3828</t>
  </si>
  <si>
    <t>nconger@buryinc.com</t>
  </si>
  <si>
    <t>463-43-2678</t>
  </si>
  <si>
    <t>Caliber Lighting and Energy</t>
  </si>
  <si>
    <t>Lynn</t>
  </si>
  <si>
    <t>Lumsden</t>
  </si>
  <si>
    <t>Business Developer</t>
  </si>
  <si>
    <t>13111 Springmint Court</t>
  </si>
  <si>
    <t>281-251-2976</t>
  </si>
  <si>
    <t>lynnlumsden@live.com</t>
  </si>
  <si>
    <t>54-0649949</t>
  </si>
  <si>
    <t>CARMAX</t>
  </si>
  <si>
    <t xml:space="preserve">JOE </t>
  </si>
  <si>
    <t>MACCARONE</t>
  </si>
  <si>
    <t>MANAGER PLANNING &amp; DESIGN</t>
  </si>
  <si>
    <t>12800 TUCKAHOE CREEK</t>
  </si>
  <si>
    <t>RICHMOND</t>
  </si>
  <si>
    <t>VA</t>
  </si>
  <si>
    <t>804-747-0422</t>
  </si>
  <si>
    <t>JOE_MACCARONE@CARMAX.COM</t>
  </si>
  <si>
    <t>10-6099171</t>
  </si>
  <si>
    <t>Carrier Commercial Service</t>
  </si>
  <si>
    <t>Carrier Corporation</t>
  </si>
  <si>
    <t>Putman</t>
  </si>
  <si>
    <t>Sales Account Manager</t>
  </si>
  <si>
    <t>100 Southbelt Industrial Drive</t>
  </si>
  <si>
    <t>77047-7012</t>
  </si>
  <si>
    <t>713-560-5404</t>
  </si>
  <si>
    <t>1-860-998-2664</t>
  </si>
  <si>
    <t>kevin.putman@carrier.utc.com</t>
  </si>
  <si>
    <t>06-1519509</t>
  </si>
  <si>
    <t>Carrier South Texas</t>
  </si>
  <si>
    <t>Bruce</t>
  </si>
  <si>
    <t>Orcutt</t>
  </si>
  <si>
    <t>Commercial Sales Manager</t>
  </si>
  <si>
    <t>16230 Port Northwest Drive</t>
  </si>
  <si>
    <t>713-939-6036</t>
  </si>
  <si>
    <t>(860)998-1399</t>
  </si>
  <si>
    <t>bruce.orcutt@carrier.utc.com</t>
  </si>
  <si>
    <t>93-1124681</t>
  </si>
  <si>
    <t>Cascade Energy, Inc.</t>
  </si>
  <si>
    <t xml:space="preserve">Paul </t>
  </si>
  <si>
    <t>Wilson</t>
  </si>
  <si>
    <t>Project Engineer</t>
  </si>
  <si>
    <t>4587 W Cedar Hills Dr. #220</t>
  </si>
  <si>
    <t>Cedar Hills</t>
  </si>
  <si>
    <t>801-770-4335</t>
  </si>
  <si>
    <t>paul.wilson@cascadeenergy.com</t>
  </si>
  <si>
    <t>77-0559191</t>
  </si>
  <si>
    <t>CED Conroe</t>
  </si>
  <si>
    <t>Consolidated Electrical Distributors</t>
  </si>
  <si>
    <t>Sample</t>
  </si>
  <si>
    <t>106 Gladstell Rd East</t>
  </si>
  <si>
    <t>Conroe</t>
  </si>
  <si>
    <t>936-539-4446</t>
  </si>
  <si>
    <t>936-539-4645</t>
  </si>
  <si>
    <t>jsample@cedconroe.com</t>
  </si>
  <si>
    <t>17-7055919</t>
  </si>
  <si>
    <t>CED Houston</t>
  </si>
  <si>
    <t>Mark</t>
  </si>
  <si>
    <t>Jenson</t>
  </si>
  <si>
    <t>Energy Products Director</t>
  </si>
  <si>
    <t>850 Greens Parkway #200</t>
  </si>
  <si>
    <t>713-819-2566</t>
  </si>
  <si>
    <t>mjenson@cedhouston.com</t>
  </si>
  <si>
    <t>41-1396485</t>
  </si>
  <si>
    <t>Chart Inc.</t>
  </si>
  <si>
    <t>Daniel</t>
  </si>
  <si>
    <t>Van Lith</t>
  </si>
  <si>
    <t>Manufacturing Engineer</t>
  </si>
  <si>
    <t>407 7th St. NW</t>
  </si>
  <si>
    <t>New Prague</t>
  </si>
  <si>
    <t>952-758-8272</t>
  </si>
  <si>
    <t>dan.vanlith@chartindustries.com</t>
  </si>
  <si>
    <t>25-0527925</t>
  </si>
  <si>
    <t>Chevron Energy Solutions Company, a Division of Ch</t>
  </si>
  <si>
    <t>Chevron U.S.A. Inc.</t>
  </si>
  <si>
    <t>Cox</t>
  </si>
  <si>
    <t>12980 Foster Drive, Suite 400</t>
  </si>
  <si>
    <t>Overland Park</t>
  </si>
  <si>
    <t>913-748-8646</t>
  </si>
  <si>
    <t>EricCox@chevron.com</t>
  </si>
  <si>
    <t>26-2462070</t>
  </si>
  <si>
    <t>Chilson Enterprise, LLC dba Magnum Roofing</t>
  </si>
  <si>
    <t>Piper</t>
  </si>
  <si>
    <t>Chilson</t>
  </si>
  <si>
    <t>President and CEO</t>
  </si>
  <si>
    <t>2809 Miller Ranch Road, Suite 429</t>
  </si>
  <si>
    <t>Pearland</t>
  </si>
  <si>
    <t>713-436-3000</t>
  </si>
  <si>
    <t>713-436-3002</t>
  </si>
  <si>
    <t>pchilson@magnumamerica.com</t>
  </si>
  <si>
    <t>74-6001164</t>
  </si>
  <si>
    <t>City of Houston</t>
  </si>
  <si>
    <t>Felix</t>
  </si>
  <si>
    <t>Assistant Director</t>
  </si>
  <si>
    <t>P.O. Box 1562</t>
  </si>
  <si>
    <t>77251-1562</t>
  </si>
  <si>
    <t>713-437-6235</t>
  </si>
  <si>
    <t>felix.johnson@cityofhouston.net</t>
  </si>
  <si>
    <t>76-0577904</t>
  </si>
  <si>
    <t>Clay Development &amp; Construction, Inc.</t>
  </si>
  <si>
    <t>Louis</t>
  </si>
  <si>
    <t>Sullivan</t>
  </si>
  <si>
    <t>GC</t>
  </si>
  <si>
    <t>5599 San Felipe, Suite 1440</t>
  </si>
  <si>
    <t>713-789-2529</t>
  </si>
  <si>
    <t>dsullivan@claydevelopment.com</t>
  </si>
  <si>
    <t>86-0983124</t>
  </si>
  <si>
    <t>Coleman Hines</t>
  </si>
  <si>
    <t>Jeanette</t>
  </si>
  <si>
    <t>Strickstein</t>
  </si>
  <si>
    <t>Business Services Supervisor</t>
  </si>
  <si>
    <t>20830 N. Tatum Boulevard</t>
  </si>
  <si>
    <t>Suite 330</t>
  </si>
  <si>
    <t>Phoenix</t>
  </si>
  <si>
    <t>AZ</t>
  </si>
  <si>
    <t>480-346-5829</t>
  </si>
  <si>
    <t>480-346-5811</t>
  </si>
  <si>
    <t>jeanette.strickstein@ems.schneider-electric.com</t>
  </si>
  <si>
    <t>13-4030389</t>
  </si>
  <si>
    <t>Coleman Hines / Barnes and Noble</t>
  </si>
  <si>
    <t xml:space="preserve">Jeff </t>
  </si>
  <si>
    <t>Jsilverstein@bn.com</t>
  </si>
  <si>
    <t>75-1914582</t>
  </si>
  <si>
    <t>Coleman Hines / Brinker International Payroll Co</t>
  </si>
  <si>
    <t>Diana</t>
  </si>
  <si>
    <t>Timmer</t>
  </si>
  <si>
    <t>Energy Department Administrator</t>
  </si>
  <si>
    <t>6750 LBJ Freeway</t>
  </si>
  <si>
    <t>972-770-1767</t>
  </si>
  <si>
    <t>972-770-8933</t>
  </si>
  <si>
    <t>diana.timmer@brinker.com</t>
  </si>
  <si>
    <t>94-3024325</t>
  </si>
  <si>
    <t>Coleman Hines / PETsMART Inc</t>
  </si>
  <si>
    <t>Urwitz</t>
  </si>
  <si>
    <t>Process Manager</t>
  </si>
  <si>
    <t>8502 E Princess Dr., Ste 260</t>
  </si>
  <si>
    <t>Scottsdale</t>
  </si>
  <si>
    <t>480-346-5807</t>
  </si>
  <si>
    <t>lurwitz@colemanhines.com</t>
  </si>
  <si>
    <t>463-69-3293</t>
  </si>
  <si>
    <t>Comfort Suites Westchase</t>
  </si>
  <si>
    <t>Piyush</t>
  </si>
  <si>
    <t>Patel</t>
  </si>
  <si>
    <t>GM/Partner</t>
  </si>
  <si>
    <t>2830 Wilcrest Dr</t>
  </si>
  <si>
    <t>832-489-8884</t>
  </si>
  <si>
    <t>281-667-3507</t>
  </si>
  <si>
    <t>siaram@hotmail.com</t>
  </si>
  <si>
    <t>74-2880221</t>
  </si>
  <si>
    <t>Comfort Systems USA</t>
  </si>
  <si>
    <t xml:space="preserve">Albert </t>
  </si>
  <si>
    <t>LaValley</t>
  </si>
  <si>
    <t>Director of Operations</t>
  </si>
  <si>
    <t>7 Waterside Crossing</t>
  </si>
  <si>
    <t>Windsor</t>
  </si>
  <si>
    <t>CT</t>
  </si>
  <si>
    <t>860-687-0709</t>
  </si>
  <si>
    <t>albert.lavalley@comfortsystemsusa.com</t>
  </si>
  <si>
    <t>95-4714890</t>
  </si>
  <si>
    <t>Constellation NewEnergy, Inc.</t>
  </si>
  <si>
    <t xml:space="preserve">Ian </t>
  </si>
  <si>
    <t>Fawcett</t>
  </si>
  <si>
    <t>1221 Lamar St</t>
  </si>
  <si>
    <t>713-826-7675</t>
  </si>
  <si>
    <t>ian.fawcett@constellation.com</t>
  </si>
  <si>
    <t>90-0325451</t>
  </si>
  <si>
    <t>Convergentz</t>
  </si>
  <si>
    <t>Greens Road B LLC</t>
  </si>
  <si>
    <t>William Greg</t>
  </si>
  <si>
    <t>Balentine</t>
  </si>
  <si>
    <t>10555 Westpark Drive</t>
  </si>
  <si>
    <t>713-201-5895</t>
  </si>
  <si>
    <t>wbalentine@convergentz.com</t>
  </si>
  <si>
    <t>91-1223280</t>
  </si>
  <si>
    <t>Costco Wholesale</t>
  </si>
  <si>
    <t>Deanna</t>
  </si>
  <si>
    <t>Hughes</t>
  </si>
  <si>
    <t>Mgr, Utilities</t>
  </si>
  <si>
    <t>999 Lake Drive</t>
  </si>
  <si>
    <t>Issaquah</t>
  </si>
  <si>
    <t>WA</t>
  </si>
  <si>
    <t>425-313-6025</t>
  </si>
  <si>
    <t>dhughes@costco.com</t>
  </si>
  <si>
    <t>Crawford Electric Supply</t>
  </si>
  <si>
    <t>Jeffrey</t>
  </si>
  <si>
    <t>Drury</t>
  </si>
  <si>
    <t xml:space="preserve">7390 Northcourt Road </t>
  </si>
  <si>
    <t>77040</t>
  </si>
  <si>
    <t>281-501-4494</t>
  </si>
  <si>
    <t>jdrury@crawfordelectricsupply.com</t>
  </si>
  <si>
    <t>05-0340626</t>
  </si>
  <si>
    <t>CVS pharmacy</t>
  </si>
  <si>
    <t>Anne</t>
  </si>
  <si>
    <t>Gardner</t>
  </si>
  <si>
    <t>Facilities Administrator</t>
  </si>
  <si>
    <t>1 CVS Drive</t>
  </si>
  <si>
    <t>Woonsocket</t>
  </si>
  <si>
    <t>RI</t>
  </si>
  <si>
    <t>401-770-6002</t>
  </si>
  <si>
    <t>amgardner@cvs.com</t>
  </si>
  <si>
    <t>76-0236465</t>
  </si>
  <si>
    <t>Cyberonics</t>
  </si>
  <si>
    <t xml:space="preserve">Joe </t>
  </si>
  <si>
    <t>Sciacca</t>
  </si>
  <si>
    <t>Mgr Manufacturing Engineering &amp; Facilities</t>
  </si>
  <si>
    <t>100 Cyberonics Blvd</t>
  </si>
  <si>
    <t>281-228-7408</t>
  </si>
  <si>
    <t>joseph.sciacca@cyberonics.com</t>
  </si>
  <si>
    <t>74-6000654</t>
  </si>
  <si>
    <t>Cypress Fairbanks ISD</t>
  </si>
  <si>
    <t>Glen</t>
  </si>
  <si>
    <t>Rhoden</t>
  </si>
  <si>
    <t>11430 Perry Rd</t>
  </si>
  <si>
    <t>281-807-8918</t>
  </si>
  <si>
    <t>281-897-3806</t>
  </si>
  <si>
    <t>henry.rhoden@cfisd.net</t>
  </si>
  <si>
    <t>61-1260060</t>
  </si>
  <si>
    <t>Delta T Corporation d/b/a Big Ass Fans</t>
  </si>
  <si>
    <t>Alex</t>
  </si>
  <si>
    <t>Taylor</t>
  </si>
  <si>
    <t>Sales Coordinator</t>
  </si>
  <si>
    <t>PO Box 11307</t>
  </si>
  <si>
    <t>Lexington</t>
  </si>
  <si>
    <t>859-685-0207</t>
  </si>
  <si>
    <t>alex.taylor@bigassfans.com</t>
  </si>
  <si>
    <t>74-2430844</t>
  </si>
  <si>
    <t>Design Electric</t>
  </si>
  <si>
    <t>Abel</t>
  </si>
  <si>
    <t>Figueredo</t>
  </si>
  <si>
    <t>Sales Rep</t>
  </si>
  <si>
    <t>703-462-6258</t>
  </si>
  <si>
    <t>(713) 462-6282</t>
  </si>
  <si>
    <t>abelf@fsgconnect.com</t>
  </si>
  <si>
    <t>72-2430844</t>
  </si>
  <si>
    <t xml:space="preserve">Design Electric </t>
  </si>
  <si>
    <t xml:space="preserve">Abel </t>
  </si>
  <si>
    <t xml:space="preserve">Account Manager </t>
  </si>
  <si>
    <t xml:space="preserve">5094 Steadmont </t>
  </si>
  <si>
    <t>713-690-6301</t>
  </si>
  <si>
    <t>713-690-5331</t>
  </si>
  <si>
    <t>Abelf@FSGconnect.com</t>
  </si>
  <si>
    <t>43-1791209</t>
  </si>
  <si>
    <t>DI Hotels Corp</t>
  </si>
  <si>
    <t>Danielle</t>
  </si>
  <si>
    <t>Poyner</t>
  </si>
  <si>
    <t>Project Specialist</t>
  </si>
  <si>
    <t>101 South Farrar Drive</t>
  </si>
  <si>
    <t>Cape Girardeau</t>
  </si>
  <si>
    <t>MO</t>
  </si>
  <si>
    <t>573-335-3134</t>
  </si>
  <si>
    <t>danielle.poyner@drurysouthwest.com</t>
  </si>
  <si>
    <t>143-84-2773</t>
  </si>
  <si>
    <t>Dialight Corporation</t>
  </si>
  <si>
    <t>http://www</t>
  </si>
  <si>
    <t>Capozzoli</t>
  </si>
  <si>
    <t>Training Coordinator</t>
  </si>
  <si>
    <t>1501 rt 34 south</t>
  </si>
  <si>
    <t>Farmingdale</t>
  </si>
  <si>
    <t>ccapozzoli@dialight.com</t>
  </si>
  <si>
    <t>32-0205291</t>
  </si>
  <si>
    <t>Diversified Lighting Technology</t>
  </si>
  <si>
    <t xml:space="preserve">Leland </t>
  </si>
  <si>
    <t>Spann</t>
  </si>
  <si>
    <t>5829 W. Sam Houston Pkwy. North, Suite 1110</t>
  </si>
  <si>
    <t>713-856-0130</t>
  </si>
  <si>
    <t>TSpann@DBattery.net</t>
  </si>
  <si>
    <t>17-6068969</t>
  </si>
  <si>
    <t>Divine Lighting</t>
  </si>
  <si>
    <t xml:space="preserve">Mike </t>
  </si>
  <si>
    <t>Krest</t>
  </si>
  <si>
    <t>3704 Hilltop STE 200</t>
  </si>
  <si>
    <t>936-494-3900</t>
  </si>
  <si>
    <t>MikeK@Divinelighting.net</t>
  </si>
  <si>
    <t>20-3205996</t>
  </si>
  <si>
    <t>DP Electronics</t>
  </si>
  <si>
    <t>Kelly</t>
  </si>
  <si>
    <t>Dworaczyk</t>
  </si>
  <si>
    <t>15160 Nautique Way</t>
  </si>
  <si>
    <t>281-646-9500</t>
  </si>
  <si>
    <t>kelly@dpei.com</t>
  </si>
  <si>
    <t>43-1386167</t>
  </si>
  <si>
    <t>Drury Southwest, Inc.</t>
  </si>
  <si>
    <t>76-0524096</t>
  </si>
  <si>
    <t>Dynamic Orthotics and Prosthetics</t>
  </si>
  <si>
    <t xml:space="preserve">Andrew </t>
  </si>
  <si>
    <t>DiBello</t>
  </si>
  <si>
    <t>IT Director</t>
  </si>
  <si>
    <t>11155 S. Main St.</t>
  </si>
  <si>
    <t>713-747-4171</t>
  </si>
  <si>
    <t>andrewd@dynamicoandp.com</t>
  </si>
  <si>
    <t>33-1020656</t>
  </si>
  <si>
    <t>Dynamic Voice Data</t>
  </si>
  <si>
    <t>Ferdie</t>
  </si>
  <si>
    <t>Mendoza</t>
  </si>
  <si>
    <t>Sr. Business Development Manager</t>
  </si>
  <si>
    <t>4403 Greenbriar Drive</t>
  </si>
  <si>
    <t>281-491-5990</t>
  </si>
  <si>
    <t>281-491-5991</t>
  </si>
  <si>
    <t>fmendoza@dvd-inc.com</t>
  </si>
  <si>
    <t>58-1135560</t>
  </si>
  <si>
    <t>E. Sam Jones Distributor, Inc.</t>
  </si>
  <si>
    <t>Drewett</t>
  </si>
  <si>
    <t>Branch Manager</t>
  </si>
  <si>
    <t>461 West 38th Street</t>
  </si>
  <si>
    <t>713-699-2600</t>
  </si>
  <si>
    <t>713-699-1666</t>
  </si>
  <si>
    <t>rdrewett@esamjones.com</t>
  </si>
  <si>
    <t>04-3587771</t>
  </si>
  <si>
    <t>E/B/E, Inc.</t>
  </si>
  <si>
    <t>Craig</t>
  </si>
  <si>
    <t>Koehn</t>
  </si>
  <si>
    <t>24 Greenway Plaza, suite 601</t>
  </si>
  <si>
    <t>713-840-0177</t>
  </si>
  <si>
    <t>713-840-8677</t>
  </si>
  <si>
    <t>ckoehn@ebeemce.com</t>
  </si>
  <si>
    <t>86-1027620</t>
  </si>
  <si>
    <t>Earth Savers Energy Services, Inc.</t>
  </si>
  <si>
    <t>Randall</t>
  </si>
  <si>
    <t>Decker</t>
  </si>
  <si>
    <t>12200 E. Barbary Coast Rd.</t>
  </si>
  <si>
    <t>Tucson</t>
  </si>
  <si>
    <t>rdecker@earthsavers.com</t>
  </si>
  <si>
    <t>20-3843563</t>
  </si>
  <si>
    <t>Eco Engineering, LLC</t>
  </si>
  <si>
    <t xml:space="preserve">Clint </t>
  </si>
  <si>
    <t>Gonzales</t>
  </si>
  <si>
    <t>National Accounts Manager</t>
  </si>
  <si>
    <t>11815 Highway Drive, Suite 600</t>
  </si>
  <si>
    <t>Cincinnati</t>
  </si>
  <si>
    <t>OH</t>
  </si>
  <si>
    <t>513-324-2280</t>
  </si>
  <si>
    <t>513-985-9940</t>
  </si>
  <si>
    <t>cgonzales@ecoengineering.com</t>
  </si>
  <si>
    <t>27-0696160</t>
  </si>
  <si>
    <t>Eco Lighting Solutions</t>
  </si>
  <si>
    <t>Level Solutions</t>
  </si>
  <si>
    <t>William</t>
  </si>
  <si>
    <t>Longardner</t>
  </si>
  <si>
    <t>Associate</t>
  </si>
  <si>
    <t>9084 Technology Drive</t>
  </si>
  <si>
    <t>Fishers</t>
  </si>
  <si>
    <t>IN</t>
  </si>
  <si>
    <t>317-509-1543</t>
  </si>
  <si>
    <t>317.576.8473</t>
  </si>
  <si>
    <t>william@ecolightingsolutions.com</t>
  </si>
  <si>
    <t>91-1701028</t>
  </si>
  <si>
    <t xml:space="preserve">Ecova Inc </t>
  </si>
  <si>
    <t xml:space="preserve">Henry </t>
  </si>
  <si>
    <t>Rebate Analyst</t>
  </si>
  <si>
    <t>Po Box 2443</t>
  </si>
  <si>
    <t>Spokane</t>
  </si>
  <si>
    <t>971-201-4221</t>
  </si>
  <si>
    <t>503-525-4800</t>
  </si>
  <si>
    <t xml:space="preserve">htaylor@ecova.com </t>
  </si>
  <si>
    <t>EES Central</t>
  </si>
  <si>
    <t>Rusty</t>
  </si>
  <si>
    <t>Farris</t>
  </si>
  <si>
    <t>8572 Katy Freeway #103</t>
  </si>
  <si>
    <t>77024</t>
  </si>
  <si>
    <t>832-675-1545</t>
  </si>
  <si>
    <t>rfarris@itseesy.com</t>
  </si>
  <si>
    <t>01-0704150</t>
  </si>
  <si>
    <t>Efficiency Energy Services</t>
  </si>
  <si>
    <t>Daniel Shannon Purcell, LLC</t>
  </si>
  <si>
    <t>Purcell</t>
  </si>
  <si>
    <t>Owner/Manager</t>
  </si>
  <si>
    <t>3801 W. Sundown Ln.</t>
  </si>
  <si>
    <t>Amarillo</t>
  </si>
  <si>
    <t>79118-5022</t>
  </si>
  <si>
    <t>806-467-1567</t>
  </si>
  <si>
    <t>danp@efficiencyenergy.com</t>
  </si>
  <si>
    <t>27-3670104</t>
  </si>
  <si>
    <t xml:space="preserve">Efficient Energy America Inc </t>
  </si>
  <si>
    <t xml:space="preserve">Chris </t>
  </si>
  <si>
    <t xml:space="preserve">Conway </t>
  </si>
  <si>
    <t xml:space="preserve">Director of Utility Incentives </t>
  </si>
  <si>
    <t xml:space="preserve">1025A N Lake Park Blvd </t>
  </si>
  <si>
    <t xml:space="preserve">Carolina Beach </t>
  </si>
  <si>
    <t>NC</t>
  </si>
  <si>
    <t>888-291-5251</t>
  </si>
  <si>
    <t xml:space="preserve">chris@e2america.com </t>
  </si>
  <si>
    <t>45-0576517</t>
  </si>
  <si>
    <t>Efficient Lighting Consultants</t>
  </si>
  <si>
    <t>Tom</t>
  </si>
  <si>
    <t>Polski</t>
  </si>
  <si>
    <t>VP of Operations</t>
  </si>
  <si>
    <t>31 Pecks Lane Unit #2</t>
  </si>
  <si>
    <t>Newtown</t>
  </si>
  <si>
    <t>203-270-7400</t>
  </si>
  <si>
    <t>203-270-8400</t>
  </si>
  <si>
    <t>tom@elc-inc.com</t>
  </si>
  <si>
    <t>77-0606672</t>
  </si>
  <si>
    <t>Efficient Lighting Masters, Inc.</t>
  </si>
  <si>
    <t>Same</t>
  </si>
  <si>
    <t>Dickerson</t>
  </si>
  <si>
    <t>20315 Via Las Villas</t>
  </si>
  <si>
    <t>Yorba Linda</t>
  </si>
  <si>
    <t>281-293-8145</t>
  </si>
  <si>
    <t>281-293-8146</t>
  </si>
  <si>
    <t>jdickerson@efficientlightingmasters.com</t>
  </si>
  <si>
    <t>20-0984239</t>
  </si>
  <si>
    <t>Eisenbach Consulting, LLC</t>
  </si>
  <si>
    <t>Sandy</t>
  </si>
  <si>
    <t>Eisenbach</t>
  </si>
  <si>
    <t>Managing Director</t>
  </si>
  <si>
    <t>921 Shiloh Road B300</t>
  </si>
  <si>
    <t>Tyler</t>
  </si>
  <si>
    <t>817-966-8603</t>
  </si>
  <si>
    <t>sandy@eisenbachconsulting.com</t>
  </si>
  <si>
    <t>063-54-0451</t>
  </si>
  <si>
    <t>Electric Works</t>
  </si>
  <si>
    <t>Gurnel</t>
  </si>
  <si>
    <t>Rose</t>
  </si>
  <si>
    <t>14614 Almeece</t>
  </si>
  <si>
    <t>281-777-0762</t>
  </si>
  <si>
    <t>Gphiliprose@gmail.com</t>
  </si>
  <si>
    <t>54-1929972</t>
  </si>
  <si>
    <t>EMO Energy Solutions, LLC</t>
  </si>
  <si>
    <t>Segletes</t>
  </si>
  <si>
    <t>Director</t>
  </si>
  <si>
    <t>3141 Fairview Park Drive</t>
  </si>
  <si>
    <t>Suite 450</t>
  </si>
  <si>
    <t>Falls Church</t>
  </si>
  <si>
    <t>703-205-0445</t>
  </si>
  <si>
    <t>703-205-0449</t>
  </si>
  <si>
    <t>jsegletes@emoenergy.com</t>
  </si>
  <si>
    <t>26-4728305</t>
  </si>
  <si>
    <t>Energy &amp; Lighting Innovations LLC</t>
  </si>
  <si>
    <t>Zolton</t>
  </si>
  <si>
    <t>28530 Ashlyn Ridge Ln</t>
  </si>
  <si>
    <t>713-498-6360</t>
  </si>
  <si>
    <t>jeff@eli-lighting.com</t>
  </si>
  <si>
    <t>13-5969775</t>
  </si>
  <si>
    <t>Energy Conservation &amp; Supply Inc.</t>
  </si>
  <si>
    <t>Ricky</t>
  </si>
  <si>
    <t>Dweck</t>
  </si>
  <si>
    <t xml:space="preserve">55 Washington St. </t>
  </si>
  <si>
    <t>Suite 302A</t>
  </si>
  <si>
    <t>Brooklyn</t>
  </si>
  <si>
    <t>718-855-5888</t>
  </si>
  <si>
    <t>718-855-3553</t>
  </si>
  <si>
    <t>ricky@enerconsupply.com</t>
  </si>
  <si>
    <t>68-0656817</t>
  </si>
  <si>
    <t>Energy Design Service Systems</t>
  </si>
  <si>
    <t xml:space="preserve">Kimathi </t>
  </si>
  <si>
    <t>Energy Specialist</t>
  </si>
  <si>
    <t>30-0641543</t>
  </si>
  <si>
    <t>Energy Efficiency &amp; Sustainability</t>
  </si>
  <si>
    <t xml:space="preserve">NR Energy Solutions </t>
  </si>
  <si>
    <t>Adam</t>
  </si>
  <si>
    <t>Horton</t>
  </si>
  <si>
    <t>5821 W. Sam Houston Parkway N.</t>
  </si>
  <si>
    <t>Suite 400</t>
  </si>
  <si>
    <t xml:space="preserve">Houston </t>
  </si>
  <si>
    <t>281-377-8808</t>
  </si>
  <si>
    <t>855-773-3379</t>
  </si>
  <si>
    <t>ahorton@itseesy.com</t>
  </si>
  <si>
    <t>30-0641544</t>
  </si>
  <si>
    <t>Energy Efficiency &amp; Sustainability Consulting</t>
  </si>
  <si>
    <t xml:space="preserve">Chery </t>
  </si>
  <si>
    <t>Watson</t>
  </si>
  <si>
    <t>410 Pierce Street Suite 110</t>
  </si>
  <si>
    <t>832-467-1190</t>
  </si>
  <si>
    <t>cwatson@eesenergyconsulting.com</t>
  </si>
  <si>
    <t>Dan</t>
  </si>
  <si>
    <t>Parsley</t>
  </si>
  <si>
    <t>dparsley@eesenergyconsulting.com</t>
  </si>
  <si>
    <t>74-1904410</t>
  </si>
  <si>
    <t>Energy Engineering Associates, Inc.</t>
  </si>
  <si>
    <t>Don</t>
  </si>
  <si>
    <t>Lipinski</t>
  </si>
  <si>
    <t>PE</t>
  </si>
  <si>
    <t>6615 Vaught Ranch Road</t>
  </si>
  <si>
    <t>512-744-4460</t>
  </si>
  <si>
    <t>512-744-4444</t>
  </si>
  <si>
    <t>donlipinski@eeace.com</t>
  </si>
  <si>
    <t>54-0493875</t>
  </si>
  <si>
    <t>Energy Logic / Circuit City Stores, Inc.</t>
  </si>
  <si>
    <t xml:space="preserve">Carolyn </t>
  </si>
  <si>
    <t>Banks</t>
  </si>
  <si>
    <t>Energy Consultant, c/o Energy Logic, Inc.</t>
  </si>
  <si>
    <t>239 Rt. 28, P.O. Box 204</t>
  </si>
  <si>
    <t>Dennisport</t>
  </si>
  <si>
    <t>508-398-0533</t>
  </si>
  <si>
    <t>508 394 7001</t>
  </si>
  <si>
    <t>cbanks@energylogicinc.com</t>
  </si>
  <si>
    <t>04-2896127</t>
  </si>
  <si>
    <t>Energy Logic / Staples, Inc.</t>
  </si>
  <si>
    <t>Carolyn</t>
  </si>
  <si>
    <t>20-0029039</t>
  </si>
  <si>
    <t>Energy Management Collaborative, llc</t>
  </si>
  <si>
    <t>Juli</t>
  </si>
  <si>
    <t>Case</t>
  </si>
  <si>
    <t>Rebate Administrator</t>
  </si>
  <si>
    <t>16305 36th Ave. N., Ste. 100</t>
  </si>
  <si>
    <t>Plymouth</t>
  </si>
  <si>
    <t>952-542-7978</t>
  </si>
  <si>
    <t>952-545-6514</t>
  </si>
  <si>
    <t>jcase@emcllc.us</t>
  </si>
  <si>
    <t>35-1707546</t>
  </si>
  <si>
    <t>Energy Mangement Systems</t>
  </si>
  <si>
    <t>Gillian</t>
  </si>
  <si>
    <t>Mansfield</t>
  </si>
  <si>
    <t>Office Manager</t>
  </si>
  <si>
    <t>450 E. 96th St.</t>
  </si>
  <si>
    <t>Ste. 150</t>
  </si>
  <si>
    <t>Indianapolis</t>
  </si>
  <si>
    <t>317-660-7150</t>
  </si>
  <si>
    <t>317-660-7151</t>
  </si>
  <si>
    <t>gillianm@energymanagement.com</t>
  </si>
  <si>
    <t>75-2723992</t>
  </si>
  <si>
    <t>Energy Partners Alliance</t>
  </si>
  <si>
    <t>Currie</t>
  </si>
  <si>
    <t>Commercial Sales</t>
  </si>
  <si>
    <t>3437 Courtyard Circle</t>
  </si>
  <si>
    <t>75234-3777</t>
  </si>
  <si>
    <t>972-877-7372</t>
  </si>
  <si>
    <t>tom.currie@savenergy.net</t>
  </si>
  <si>
    <t>56-2665874</t>
  </si>
  <si>
    <t>Energy Partners Alliance, LLC</t>
  </si>
  <si>
    <t>Comercial Sales</t>
  </si>
  <si>
    <t>3767 Forest Lane</t>
  </si>
  <si>
    <t>Ste 124-1118</t>
  </si>
  <si>
    <t>877-6042321</t>
  </si>
  <si>
    <t>20-8962882</t>
  </si>
  <si>
    <t xml:space="preserve">Energy Retrofitters, Inc. </t>
  </si>
  <si>
    <t xml:space="preserve">Steve </t>
  </si>
  <si>
    <t>Norris</t>
  </si>
  <si>
    <t>4090 H C Meacham Blvd</t>
  </si>
  <si>
    <t>888-473-8763</t>
  </si>
  <si>
    <t>817-886-2544</t>
  </si>
  <si>
    <t>snorris@energyretrofitters.com</t>
  </si>
  <si>
    <t>26-0439952</t>
  </si>
  <si>
    <t>Energy Saving Management Systems (ESMS)</t>
  </si>
  <si>
    <t>Karli</t>
  </si>
  <si>
    <t>Barich</t>
  </si>
  <si>
    <t>Energy Directives Manager</t>
  </si>
  <si>
    <t>PO Box 517</t>
  </si>
  <si>
    <t>Mukilteo</t>
  </si>
  <si>
    <t>425-359-9775</t>
  </si>
  <si>
    <t>karli@esmsystems.com</t>
  </si>
  <si>
    <t>13-4228834</t>
  </si>
  <si>
    <t>Energy Saving Strategies</t>
  </si>
  <si>
    <t>Linda Gregory, LLC</t>
  </si>
  <si>
    <t>13-4228824</t>
  </si>
  <si>
    <t>Farz</t>
  </si>
  <si>
    <t>Jokar</t>
  </si>
  <si>
    <t>102 Rustic Cedar Trail</t>
  </si>
  <si>
    <t>Georgetown</t>
  </si>
  <si>
    <t>512-577-1686</t>
  </si>
  <si>
    <t>512-233-5840</t>
  </si>
  <si>
    <t>fjokar@energyss.com</t>
  </si>
  <si>
    <t>37-1107651</t>
  </si>
  <si>
    <t>Entech Sales and Service, Inc</t>
  </si>
  <si>
    <t>Brian</t>
  </si>
  <si>
    <t>Simmons</t>
  </si>
  <si>
    <t>1930 Lauder Road</t>
  </si>
  <si>
    <t>281-506-9090</t>
  </si>
  <si>
    <t>281-227-8010</t>
  </si>
  <si>
    <t>bsimmons@entechsales.com</t>
  </si>
  <si>
    <t>72-1431882</t>
  </si>
  <si>
    <t>Entergy Solutions District Cooling</t>
  </si>
  <si>
    <t>Kearns</t>
  </si>
  <si>
    <t>Managere</t>
  </si>
  <si>
    <t>1401 Rusk Avenue</t>
  </si>
  <si>
    <t>Houtons</t>
  </si>
  <si>
    <t>713-315-5205</t>
  </si>
  <si>
    <t>tkearns@entergy.com</t>
  </si>
  <si>
    <t>27-0166740</t>
  </si>
  <si>
    <t>ENVIROLITE LLC</t>
  </si>
  <si>
    <t>Ed</t>
  </si>
  <si>
    <t>Oberstein</t>
  </si>
  <si>
    <t>2809 Firethorn Circle</t>
  </si>
  <si>
    <t>Plano</t>
  </si>
  <si>
    <t>214-802-5959</t>
  </si>
  <si>
    <t>972-378-7927</t>
  </si>
  <si>
    <t>ed@enviroliteusa.com</t>
  </si>
  <si>
    <t>27-2446260</t>
  </si>
  <si>
    <t>ESA Energy Systems Associates, Inc.</t>
  </si>
  <si>
    <t>Terracon</t>
  </si>
  <si>
    <t>LePere</t>
  </si>
  <si>
    <t>Admin Assistant</t>
  </si>
  <si>
    <t xml:space="preserve">10801 Hammerly Blvd. </t>
  </si>
  <si>
    <t>Suite 250</t>
  </si>
  <si>
    <t>281-888-3202</t>
  </si>
  <si>
    <t>281-888-3431</t>
  </si>
  <si>
    <t>slepere@esa-engineers.com</t>
  </si>
  <si>
    <t>04-3208665</t>
  </si>
  <si>
    <t>ESCO Energy Services Company</t>
  </si>
  <si>
    <t xml:space="preserve">Mitchell </t>
  </si>
  <si>
    <t>Barack</t>
  </si>
  <si>
    <t>309 Pittsfield Road</t>
  </si>
  <si>
    <t>Lenox</t>
  </si>
  <si>
    <t>413-551-0055</t>
  </si>
  <si>
    <t>413-551-0001</t>
  </si>
  <si>
    <t>mbarack@goesco.com</t>
  </si>
  <si>
    <t>27-0560364</t>
  </si>
  <si>
    <t>Essential Energy Services, Inc</t>
  </si>
  <si>
    <t>Scott</t>
  </si>
  <si>
    <t>Siddons</t>
  </si>
  <si>
    <t>3421 Barcelona Street</t>
  </si>
  <si>
    <t>Denton</t>
  </si>
  <si>
    <t>940-320-6822</t>
  </si>
  <si>
    <t>s.siddons@essentiales.com</t>
  </si>
  <si>
    <t>56-2247938</t>
  </si>
  <si>
    <t>Spilde</t>
  </si>
  <si>
    <t>r.spilde@essentiales.com</t>
  </si>
  <si>
    <t>27-0265823</t>
  </si>
  <si>
    <t>E-Tex Energy Systems LLC</t>
  </si>
  <si>
    <t>Tricia</t>
  </si>
  <si>
    <t>Dunlap</t>
  </si>
  <si>
    <t>Rebate Coordinator</t>
  </si>
  <si>
    <t>4811 Nolda St</t>
  </si>
  <si>
    <t>512-680-0990</t>
  </si>
  <si>
    <t>dunlap@me.com</t>
  </si>
  <si>
    <t>72-1485392</t>
  </si>
  <si>
    <t>Evaporcool Solutions, LLC</t>
  </si>
  <si>
    <t>Dustin</t>
  </si>
  <si>
    <t>Cahan</t>
  </si>
  <si>
    <t>Chief Operating Officer</t>
  </si>
  <si>
    <t>5100 Wilfong Road</t>
  </si>
  <si>
    <t>Memphis</t>
  </si>
  <si>
    <t>TN</t>
  </si>
  <si>
    <t>901-382-7809</t>
  </si>
  <si>
    <t>dustin@evaporcool.com</t>
  </si>
  <si>
    <t>04-2801160</t>
  </si>
  <si>
    <t>Exel</t>
  </si>
  <si>
    <t>Mager</t>
  </si>
  <si>
    <t>Director of Solutions</t>
  </si>
  <si>
    <t>570 Polaris Pkwy</t>
  </si>
  <si>
    <t>Westerville</t>
  </si>
  <si>
    <t>614-865-8341</t>
  </si>
  <si>
    <t>denise.mager@us.exel.com</t>
  </si>
  <si>
    <t>450-76-5266</t>
  </si>
  <si>
    <t>Expert Energy Services</t>
  </si>
  <si>
    <t>13614 Sunswept Way</t>
  </si>
  <si>
    <t>77082-1818</t>
  </si>
  <si>
    <t>713-818-4584</t>
  </si>
  <si>
    <t>281-416-5884</t>
  </si>
  <si>
    <t>jd1094@sbcglobal.net</t>
  </si>
  <si>
    <t>76-0190881</t>
  </si>
  <si>
    <t>Express Electrical Services</t>
  </si>
  <si>
    <t>Daine</t>
  </si>
  <si>
    <t>Deaver</t>
  </si>
  <si>
    <t>502 Freeport Street</t>
  </si>
  <si>
    <t>713-455-4928</t>
  </si>
  <si>
    <t>ddeaverexpress@aol.com</t>
  </si>
  <si>
    <t>75-3027614</t>
  </si>
  <si>
    <t>Facilities Mechanical, Inc.</t>
  </si>
  <si>
    <t>Hohneke</t>
  </si>
  <si>
    <t>SVP Operations</t>
  </si>
  <si>
    <t>12933 Brittmoore Park Dr.</t>
  </si>
  <si>
    <t>713-980-2880</t>
  </si>
  <si>
    <t>jhohneke@facilitiesmechanical.com</t>
  </si>
  <si>
    <t>14-3077744</t>
  </si>
  <si>
    <t xml:space="preserve">Brian </t>
  </si>
  <si>
    <t>Dwyer</t>
  </si>
  <si>
    <t>Division Manager</t>
  </si>
  <si>
    <t>briand@fsgi.com</t>
  </si>
  <si>
    <t>27-3475462</t>
  </si>
  <si>
    <t>FE2 Solutions</t>
  </si>
  <si>
    <t>Greg</t>
  </si>
  <si>
    <t>Poole</t>
  </si>
  <si>
    <t>Principal</t>
  </si>
  <si>
    <t>2914 Taylorcrest Dr.</t>
  </si>
  <si>
    <t>832-647-4853</t>
  </si>
  <si>
    <t>gpoole@fe2solutions.com</t>
  </si>
  <si>
    <t>75-0793101</t>
  </si>
  <si>
    <t>Federal Reserve Bank of Dallas- Houston office</t>
  </si>
  <si>
    <t>JACOB</t>
  </si>
  <si>
    <t>GARCIA</t>
  </si>
  <si>
    <t>Administrative Services Engr Manager</t>
  </si>
  <si>
    <t>1801 Allen Parkway</t>
  </si>
  <si>
    <t>713-870-6584</t>
  </si>
  <si>
    <t>JACOB.GARCIA@DAL.FRB.ORG</t>
  </si>
  <si>
    <t>65-0781847</t>
  </si>
  <si>
    <t>Fine Line Electric</t>
  </si>
  <si>
    <t>Melanie</t>
  </si>
  <si>
    <t>Ghent</t>
  </si>
  <si>
    <t>Business Development</t>
  </si>
  <si>
    <t>3071 N Dixie Hwy</t>
  </si>
  <si>
    <t>954-786-8006</t>
  </si>
  <si>
    <t>nbruno@finelinecorp.com</t>
  </si>
  <si>
    <t>Natalee</t>
  </si>
  <si>
    <t>Bruno</t>
  </si>
  <si>
    <t>74-1238422</t>
  </si>
  <si>
    <t>First United Methodist Church Katy</t>
  </si>
  <si>
    <t>Delores</t>
  </si>
  <si>
    <t>Sanins</t>
  </si>
  <si>
    <t>Administrative Coordinator</t>
  </si>
  <si>
    <t>5601 Fifth Street</t>
  </si>
  <si>
    <t>Katy</t>
  </si>
  <si>
    <t>281-391-2121</t>
  </si>
  <si>
    <t>281-391-7661</t>
  </si>
  <si>
    <t>dsanins@firstmethodistkaty.com</t>
  </si>
  <si>
    <t>95-2758280</t>
  </si>
  <si>
    <t>Fluor Enterprises, Inc</t>
  </si>
  <si>
    <t>Goetz</t>
  </si>
  <si>
    <t>Director - Sustainability &amp; Energy Management</t>
  </si>
  <si>
    <t>100 Fluor Daniel Drive</t>
  </si>
  <si>
    <t>C303C</t>
  </si>
  <si>
    <t>Greenville</t>
  </si>
  <si>
    <t>SC</t>
  </si>
  <si>
    <t>864-281-4123</t>
  </si>
  <si>
    <t>jeffrey.goetz@fluor.com</t>
  </si>
  <si>
    <t>91-2195336</t>
  </si>
  <si>
    <t>Flux Drive, Inc</t>
  </si>
  <si>
    <t>Libby</t>
  </si>
  <si>
    <t>Dunkin</t>
  </si>
  <si>
    <t>VP, Operations</t>
  </si>
  <si>
    <t>14209 29th Street East</t>
  </si>
  <si>
    <t>Suite 105</t>
  </si>
  <si>
    <t>Sumner</t>
  </si>
  <si>
    <t>253-826-9004</t>
  </si>
  <si>
    <t>LDunkin@FluxDrive.com</t>
  </si>
  <si>
    <t>Forza Energy, LLC</t>
  </si>
  <si>
    <t>Justin</t>
  </si>
  <si>
    <t>Cockrell</t>
  </si>
  <si>
    <t>1921 River Way Dr</t>
  </si>
  <si>
    <t>Birmingham</t>
  </si>
  <si>
    <t>AL</t>
  </si>
  <si>
    <t>35244</t>
  </si>
  <si>
    <t>205-337-7028</t>
  </si>
  <si>
    <t>justin@forzaenergy.com</t>
  </si>
  <si>
    <t>75-0281470</t>
  </si>
  <si>
    <t>Frito Lay Inc.</t>
  </si>
  <si>
    <t>Franke</t>
  </si>
  <si>
    <t>Technical Manager</t>
  </si>
  <si>
    <t>3310 Highway 36 North</t>
  </si>
  <si>
    <t>Rosenberg</t>
  </si>
  <si>
    <t>281-232-1550</t>
  </si>
  <si>
    <t>281 232 1516</t>
  </si>
  <si>
    <t>mark.franke1@fritolay.com</t>
  </si>
  <si>
    <t>12-3456790</t>
  </si>
  <si>
    <t>Frontier Testing</t>
  </si>
  <si>
    <t>123-456-7890</t>
  </si>
  <si>
    <t>lclark@frontierassoc.com</t>
  </si>
  <si>
    <t>74-2942838</t>
  </si>
  <si>
    <t>FSG Lighting</t>
  </si>
  <si>
    <t>Garrett</t>
  </si>
  <si>
    <t>McGuire</t>
  </si>
  <si>
    <t>2525 WALNUT HILL LANE</t>
  </si>
  <si>
    <t>SUITE 400</t>
  </si>
  <si>
    <t>DALLAS</t>
  </si>
  <si>
    <t>214-351-6266</t>
  </si>
  <si>
    <t>214-357-5789</t>
  </si>
  <si>
    <t>garrett.mcguire@fsgi.com</t>
  </si>
  <si>
    <t>74-2921902</t>
  </si>
  <si>
    <t>G&amp;R Electrical Construction, Inc.</t>
  </si>
  <si>
    <t>Lisa</t>
  </si>
  <si>
    <t>Williams</t>
  </si>
  <si>
    <t>Director of Service</t>
  </si>
  <si>
    <t>11875 W. Little York, Suite 208</t>
  </si>
  <si>
    <t>281-780-7944</t>
  </si>
  <si>
    <t>512-528-1959</t>
  </si>
  <si>
    <t>lisa@grelectric.net</t>
  </si>
  <si>
    <t>94-1697231</t>
  </si>
  <si>
    <t>Gap inc</t>
  </si>
  <si>
    <t>75-2304244</t>
  </si>
  <si>
    <t xml:space="preserve">Luke </t>
  </si>
  <si>
    <t>Popiak</t>
  </si>
  <si>
    <t>Energy specialist</t>
  </si>
  <si>
    <t xml:space="preserve">2 Folsom st </t>
  </si>
  <si>
    <t xml:space="preserve">Charlotte </t>
  </si>
  <si>
    <t>860-933-9441</t>
  </si>
  <si>
    <t>lucas.popiak@capitollight.com</t>
  </si>
  <si>
    <t>76-0484957</t>
  </si>
  <si>
    <t>Garden Ridge LP</t>
  </si>
  <si>
    <t>Christian</t>
  </si>
  <si>
    <t>Schwarz</t>
  </si>
  <si>
    <t>Director Real Estate</t>
  </si>
  <si>
    <t>19411 Atrium Place</t>
  </si>
  <si>
    <t>Suite 170</t>
  </si>
  <si>
    <t>832-391-7325</t>
  </si>
  <si>
    <t>cschwarz@gardenridge.com</t>
  </si>
  <si>
    <t>20-5021902</t>
  </si>
  <si>
    <t>General Supply &amp; Services dba Gexpro</t>
  </si>
  <si>
    <t>Valerie</t>
  </si>
  <si>
    <t>Draper</t>
  </si>
  <si>
    <t>Sales</t>
  </si>
  <si>
    <t>6901 West Tidwell Rd</t>
  </si>
  <si>
    <t>713-939-5111</t>
  </si>
  <si>
    <t>valerie.draper@gexpro.com</t>
  </si>
  <si>
    <t>20-3109268</t>
  </si>
  <si>
    <t>Goodrum Investments</t>
  </si>
  <si>
    <t>Tera</t>
  </si>
  <si>
    <t>Goodrum</t>
  </si>
  <si>
    <t>1409 Jones Road</t>
  </si>
  <si>
    <t>Highlands</t>
  </si>
  <si>
    <t>281-426-6598</t>
  </si>
  <si>
    <t>281-426-3881</t>
  </si>
  <si>
    <t>tera@excelmechanicaltx.com</t>
  </si>
  <si>
    <t>Graybar</t>
  </si>
  <si>
    <t>6161 Bingle Road</t>
  </si>
  <si>
    <t>77092</t>
  </si>
  <si>
    <t>713-423-3201</t>
  </si>
  <si>
    <t>jeff.drury@graybar.com</t>
  </si>
  <si>
    <t>13-0794380</t>
  </si>
  <si>
    <t>Graybar Electric Company</t>
  </si>
  <si>
    <t>Dale</t>
  </si>
  <si>
    <t>Stolzenburg</t>
  </si>
  <si>
    <t>Manager, Lighting Business Development</t>
  </si>
  <si>
    <t>281-814-2829</t>
  </si>
  <si>
    <t>Dale.Stolzenburg@graybar.com</t>
  </si>
  <si>
    <t>27-2236951</t>
  </si>
  <si>
    <t>GREEN BUILDING SCIENCE NETWORK</t>
  </si>
  <si>
    <t>SYED</t>
  </si>
  <si>
    <t>MOHIUDDIN</t>
  </si>
  <si>
    <t>VP. OPERATIONS</t>
  </si>
  <si>
    <t>P O BOX 10294</t>
  </si>
  <si>
    <t>BEAUMONT</t>
  </si>
  <si>
    <t>409-466-2813</t>
  </si>
  <si>
    <t>SYED@TXGBSNETWORK.COM</t>
  </si>
  <si>
    <t>45-2158079</t>
  </si>
  <si>
    <t>Green Generation Solutions LLC</t>
  </si>
  <si>
    <t>Nino</t>
  </si>
  <si>
    <t>SanDoval</t>
  </si>
  <si>
    <t>8120 Woodmont Avenue</t>
  </si>
  <si>
    <t>Bethesda</t>
  </si>
  <si>
    <t>MD</t>
  </si>
  <si>
    <t>301-202-2936</t>
  </si>
  <si>
    <t>nino@greengenerationsolutions.com</t>
  </si>
  <si>
    <t>27-3796861</t>
  </si>
  <si>
    <t>Green Light Midwest</t>
  </si>
  <si>
    <t>Michael</t>
  </si>
  <si>
    <t>McAlinden</t>
  </si>
  <si>
    <t>1727 S Indiana</t>
  </si>
  <si>
    <t>#117</t>
  </si>
  <si>
    <t>michael.mcalinden@greenlightmidwest.com</t>
  </si>
  <si>
    <t>26-4468991</t>
  </si>
  <si>
    <t>GreenLight Energy Services LLC</t>
  </si>
  <si>
    <t>Coons</t>
  </si>
  <si>
    <t xml:space="preserve">PO Box 1132 </t>
  </si>
  <si>
    <t>512-448-2300</t>
  </si>
  <si>
    <t>richard@greenlight-es.com</t>
  </si>
  <si>
    <t>46-3150413</t>
  </si>
  <si>
    <t>GreenSave</t>
  </si>
  <si>
    <t>Thomas</t>
  </si>
  <si>
    <t>Flynn</t>
  </si>
  <si>
    <t>10 Willow Ave.</t>
  </si>
  <si>
    <t>Larkspur</t>
  </si>
  <si>
    <t>415-924-8250</t>
  </si>
  <si>
    <t>tomflynn@sonic.net</t>
  </si>
  <si>
    <t>31-4388903</t>
  </si>
  <si>
    <t>Greif, LLC</t>
  </si>
  <si>
    <t xml:space="preserve">Mandon </t>
  </si>
  <si>
    <t>King</t>
  </si>
  <si>
    <t>Plant Manager</t>
  </si>
  <si>
    <t>9280 Baythorne Dr</t>
  </si>
  <si>
    <t>713-462-0073</t>
  </si>
  <si>
    <t>mandon.king@greif.com</t>
  </si>
  <si>
    <t>20-3201365</t>
  </si>
  <si>
    <t>Groom Energy Solutions</t>
  </si>
  <si>
    <t>Magnus</t>
  </si>
  <si>
    <t>Linden</t>
  </si>
  <si>
    <t>Sales Engineer</t>
  </si>
  <si>
    <t>96 Swampscott Rd</t>
  </si>
  <si>
    <t>Salem</t>
  </si>
  <si>
    <t>781-589-7332</t>
  </si>
  <si>
    <t>978 306-6053</t>
  </si>
  <si>
    <t>mlinden@groomenergy,com</t>
  </si>
  <si>
    <t>Bethany</t>
  </si>
  <si>
    <t>Kalliel</t>
  </si>
  <si>
    <t>01970</t>
  </si>
  <si>
    <t>978-306-6052</t>
  </si>
  <si>
    <t>bkalliel@groomenergy.com</t>
  </si>
  <si>
    <t>56-2352186</t>
  </si>
  <si>
    <t>GROUP-S LLC d/b/a EN-POWER GROUP</t>
  </si>
  <si>
    <t>Scorrano</t>
  </si>
  <si>
    <t>16 Frances Drive</t>
  </si>
  <si>
    <t>Katonah</t>
  </si>
  <si>
    <t>914-263-1199</t>
  </si>
  <si>
    <t>mscorrano@en-powergroup.com</t>
  </si>
  <si>
    <t>76-0277765</t>
  </si>
  <si>
    <t>Hargrave Electric</t>
  </si>
  <si>
    <t>Hargrave</t>
  </si>
  <si>
    <t>14021 Hargrave Rd</t>
  </si>
  <si>
    <t>281-955-5491</t>
  </si>
  <si>
    <t>281-955-5698</t>
  </si>
  <si>
    <t>bryan@hargraveelectric.com</t>
  </si>
  <si>
    <t>35-0965412</t>
  </si>
  <si>
    <t>Havel</t>
  </si>
  <si>
    <t>Rich</t>
  </si>
  <si>
    <t>Glassburn</t>
  </si>
  <si>
    <t>5128 W 79th St</t>
  </si>
  <si>
    <t>317-872-4242</t>
  </si>
  <si>
    <t>rglassburn@shambaugh.com</t>
  </si>
  <si>
    <t>46-0524709</t>
  </si>
  <si>
    <t>HC Energy LLC.</t>
  </si>
  <si>
    <t>Clay</t>
  </si>
  <si>
    <t>Walker</t>
  </si>
  <si>
    <t>6300 A Hart Lane</t>
  </si>
  <si>
    <t>512-317-3834</t>
  </si>
  <si>
    <t>cwe1@live.com</t>
  </si>
  <si>
    <t>2404 Monaco Dr</t>
  </si>
  <si>
    <t>Cedar Park</t>
  </si>
  <si>
    <t>74-3010657</t>
  </si>
  <si>
    <t>HEB Grocery</t>
  </si>
  <si>
    <t>Manuel</t>
  </si>
  <si>
    <t>Garza</t>
  </si>
  <si>
    <t>Engineer</t>
  </si>
  <si>
    <t xml:space="preserve">646 S. Main </t>
  </si>
  <si>
    <t>210-938-7244</t>
  </si>
  <si>
    <t>210-938-7728</t>
  </si>
  <si>
    <t>garza.manuel@heb.com</t>
  </si>
  <si>
    <t>509-74-5949</t>
  </si>
  <si>
    <t>Henderson Engineers</t>
  </si>
  <si>
    <t>Coyan</t>
  </si>
  <si>
    <t>Professional Engineer Level II</t>
  </si>
  <si>
    <t>8325 Lenexa Drive</t>
  </si>
  <si>
    <t>Lenexa</t>
  </si>
  <si>
    <t>913-742-5347</t>
  </si>
  <si>
    <t>lisa.coyan@hei-eng.com</t>
  </si>
  <si>
    <t>94-1081436</t>
  </si>
  <si>
    <t>Hewlett-Packard Company</t>
  </si>
  <si>
    <t>Renato</t>
  </si>
  <si>
    <t>Geniza</t>
  </si>
  <si>
    <t>Sustaining Engineer</t>
  </si>
  <si>
    <t>1000 NE Circle Blvd.  Mail Stop 415A</t>
  </si>
  <si>
    <t>Corvallis</t>
  </si>
  <si>
    <t>OR</t>
  </si>
  <si>
    <t>541-715-6895</t>
  </si>
  <si>
    <t>541-715-8633</t>
  </si>
  <si>
    <t>rene.geniza@hp.com</t>
  </si>
  <si>
    <t>76-0193634</t>
  </si>
  <si>
    <t>Highlights Electrical</t>
  </si>
  <si>
    <t>Highlights of Houston Incorporated</t>
  </si>
  <si>
    <t xml:space="preserve">George </t>
  </si>
  <si>
    <t>Levandoski</t>
  </si>
  <si>
    <t>4544 S. Pinemont, Suite 208</t>
  </si>
  <si>
    <t>713-266-6464</t>
  </si>
  <si>
    <t>george@hohi.net</t>
  </si>
  <si>
    <t>72-1449493</t>
  </si>
  <si>
    <t>Hillhouse Power Solutions, Inc.</t>
  </si>
  <si>
    <t>Hillhouse</t>
  </si>
  <si>
    <t>8100 Oak Knoll Drive</t>
  </si>
  <si>
    <t>North Richland Hills</t>
  </si>
  <si>
    <t>817-428-0042</t>
  </si>
  <si>
    <t>817-428-9808</t>
  </si>
  <si>
    <t>mike@hillhousepower.com</t>
  </si>
  <si>
    <t>76-0569681</t>
  </si>
  <si>
    <t>HK Capital Management</t>
  </si>
  <si>
    <t>HK Capital</t>
  </si>
  <si>
    <t>Alice</t>
  </si>
  <si>
    <t>Melendez</t>
  </si>
  <si>
    <t>Project Coordinator</t>
  </si>
  <si>
    <t>6709 Hornwood Dr.</t>
  </si>
  <si>
    <t>ste 307</t>
  </si>
  <si>
    <t>alice@hkhouston.com</t>
  </si>
  <si>
    <t>73-1438801</t>
  </si>
  <si>
    <t>Hob-Lob, LP</t>
  </si>
  <si>
    <t>Kathy</t>
  </si>
  <si>
    <t>Crews</t>
  </si>
  <si>
    <t>Energy Analyst</t>
  </si>
  <si>
    <t>7707 SW 44th Street</t>
  </si>
  <si>
    <t>Oklahoma City</t>
  </si>
  <si>
    <t>OK</t>
  </si>
  <si>
    <t>405-745-6184</t>
  </si>
  <si>
    <t>kathryn.crews@hobbylobby.com</t>
  </si>
  <si>
    <t>74-1394920</t>
  </si>
  <si>
    <t>Houston Ballet</t>
  </si>
  <si>
    <t>Lorrie</t>
  </si>
  <si>
    <t>Foreman</t>
  </si>
  <si>
    <t>440 Louisiana, Suite 900</t>
  </si>
  <si>
    <t>713-459-8568</t>
  </si>
  <si>
    <t>lforeman@venturioutcomes.com</t>
  </si>
  <si>
    <t>Houston Chronicle Media Group</t>
  </si>
  <si>
    <t>Tommy</t>
  </si>
  <si>
    <t>Wood</t>
  </si>
  <si>
    <t>801 Texas Ave.</t>
  </si>
  <si>
    <t>77002</t>
  </si>
  <si>
    <t>713-362-6439</t>
  </si>
  <si>
    <t>Tommy.Wood@chron.com</t>
  </si>
  <si>
    <t>76-0651209</t>
  </si>
  <si>
    <t>Houston First Corporation</t>
  </si>
  <si>
    <t>Smyer</t>
  </si>
  <si>
    <t>Senior Staff Analyst</t>
  </si>
  <si>
    <t>George R. Brown Convention Center</t>
  </si>
  <si>
    <t>1001 Avenida de las Americas</t>
  </si>
  <si>
    <t>713-853-8287</t>
  </si>
  <si>
    <t>713-853-8290</t>
  </si>
  <si>
    <t>thomas.smyer@houstonfirst.com</t>
  </si>
  <si>
    <t>20-8578550</t>
  </si>
  <si>
    <t>Houston Grand Parkway LP</t>
  </si>
  <si>
    <t>Black</t>
  </si>
  <si>
    <t>General Partner</t>
  </si>
  <si>
    <t>22503 Katy Freeway, Suite 18</t>
  </si>
  <si>
    <t>713-774-5750</t>
  </si>
  <si>
    <t>jblack721@aol.com</t>
  </si>
  <si>
    <t>HTS Texas</t>
  </si>
  <si>
    <t>Mike</t>
  </si>
  <si>
    <t>3350 Yale</t>
  </si>
  <si>
    <t>713-899-7999</t>
  </si>
  <si>
    <t>mike.donovan@hts.com</t>
  </si>
  <si>
    <t>Hunton Trane</t>
  </si>
  <si>
    <t>Matt</t>
  </si>
  <si>
    <t>Quinlan</t>
  </si>
  <si>
    <t>77042</t>
  </si>
  <si>
    <t>713-328-3779</t>
  </si>
  <si>
    <t>MQuinlan@huntongroup.com</t>
  </si>
  <si>
    <t>498-60-7693</t>
  </si>
  <si>
    <t>Hunton Trane CSG 2006</t>
  </si>
  <si>
    <t>Colborne</t>
  </si>
  <si>
    <t>10555 Westpark</t>
  </si>
  <si>
    <t>713-266-3900</t>
  </si>
  <si>
    <t>bjcolborne@trane.com</t>
  </si>
  <si>
    <t>76-0632717</t>
  </si>
  <si>
    <t>Hunton Trane Services</t>
  </si>
  <si>
    <t>Burrow</t>
  </si>
  <si>
    <t>5622 Luce St.</t>
  </si>
  <si>
    <t>832-358-7495</t>
  </si>
  <si>
    <t>tburrow@huntongroup.com</t>
  </si>
  <si>
    <t>76-0641692</t>
  </si>
  <si>
    <t>Jimmy</t>
  </si>
  <si>
    <t>Devlin</t>
  </si>
  <si>
    <t>713-643-8336</t>
  </si>
  <si>
    <t>jdevlin@huntongroup.com</t>
  </si>
  <si>
    <t>76-0638357</t>
  </si>
  <si>
    <t xml:space="preserve">Huper optik usa </t>
  </si>
  <si>
    <t xml:space="preserve">Operations Manager </t>
  </si>
  <si>
    <t>5821 w sam houston parkway north</t>
  </si>
  <si>
    <t xml:space="preserve">houston </t>
  </si>
  <si>
    <t>832-467-1170</t>
  </si>
  <si>
    <t>hrahman@huperoptikusa.com</t>
  </si>
  <si>
    <t>74-1690593</t>
  </si>
  <si>
    <t>I. A. Naman + Associates, Inc.</t>
  </si>
  <si>
    <t>Barrow</t>
  </si>
  <si>
    <t>Two Greenway Plaza, Suite 700</t>
  </si>
  <si>
    <t>713-860-3674</t>
  </si>
  <si>
    <t>713 860-3799</t>
  </si>
  <si>
    <t>tbarrow@ianaman.com</t>
  </si>
  <si>
    <t>76-0590586</t>
  </si>
  <si>
    <t>I-45 N. Professional Bldg.</t>
  </si>
  <si>
    <t>4615 Investors LLC</t>
  </si>
  <si>
    <t>Zack</t>
  </si>
  <si>
    <t>Burghli</t>
  </si>
  <si>
    <t>Managing Member</t>
  </si>
  <si>
    <t>4615 N. Freeway # 100</t>
  </si>
  <si>
    <t>713-692-6252</t>
  </si>
  <si>
    <t>713-692-6063</t>
  </si>
  <si>
    <t>i45n@sbcglobal.net</t>
  </si>
  <si>
    <t>34-1732221</t>
  </si>
  <si>
    <t>ILLUMETEK CORP</t>
  </si>
  <si>
    <t>DENISE</t>
  </si>
  <si>
    <t>MICHALAK</t>
  </si>
  <si>
    <t>PROJECT MANAGER</t>
  </si>
  <si>
    <t>121 EAST ASCOT LANE</t>
  </si>
  <si>
    <t>CUYAHOGA FALLS</t>
  </si>
  <si>
    <t>800-644-2566</t>
  </si>
  <si>
    <t>888-445-4500</t>
  </si>
  <si>
    <t>dmichalak@illumetek.com</t>
  </si>
  <si>
    <t>46-3714396</t>
  </si>
  <si>
    <t>Imperial Utilities &amp; Sustainability, Inc</t>
  </si>
  <si>
    <t>Paul</t>
  </si>
  <si>
    <t>Brokhin</t>
  </si>
  <si>
    <t>Director of Operatons</t>
  </si>
  <si>
    <t>5550 North Braeswood Suite 067</t>
  </si>
  <si>
    <t>713-206-1565</t>
  </si>
  <si>
    <t>Pbrokhin@imperialsustainability.com</t>
  </si>
  <si>
    <t>58-2648603</t>
  </si>
  <si>
    <t xml:space="preserve">ING Clarion </t>
  </si>
  <si>
    <t>c/o RealWinWin</t>
  </si>
  <si>
    <t>PO Box 15787</t>
  </si>
  <si>
    <t>Philadelphia</t>
  </si>
  <si>
    <t>215-732-4480</t>
  </si>
  <si>
    <t>215-732-0477</t>
  </si>
  <si>
    <t>lurwitz@realwinwin.com</t>
  </si>
  <si>
    <t>56-2326011</t>
  </si>
  <si>
    <t>Innovative Performance Contracting, Inc</t>
  </si>
  <si>
    <t>Johnny</t>
  </si>
  <si>
    <t>Kammerer</t>
  </si>
  <si>
    <t>Corporate Secretary</t>
  </si>
  <si>
    <t>17480 Dallas Parkway</t>
  </si>
  <si>
    <t>Suite 215</t>
  </si>
  <si>
    <t>214-461-1700</t>
  </si>
  <si>
    <t>214-461-1701</t>
  </si>
  <si>
    <t>johnny.kammerer@ipcenergy.com</t>
  </si>
  <si>
    <t>56-2358003</t>
  </si>
  <si>
    <t>Innovative Power Solutions, LLC</t>
  </si>
  <si>
    <t>Joe</t>
  </si>
  <si>
    <t>Rice</t>
  </si>
  <si>
    <t>8606 Riverwood Drive</t>
  </si>
  <si>
    <t>North Little Rock</t>
  </si>
  <si>
    <t>AR</t>
  </si>
  <si>
    <t>501-851-9990</t>
  </si>
  <si>
    <t>501-851-9985</t>
  </si>
  <si>
    <t>jrice@innpower.com</t>
  </si>
  <si>
    <t>27-4029185</t>
  </si>
  <si>
    <t>INTEC Controls</t>
  </si>
  <si>
    <t>LKCM WM Intec, LLC</t>
  </si>
  <si>
    <t>27-4029111</t>
  </si>
  <si>
    <t>Nobis</t>
  </si>
  <si>
    <t>Texas Regional Sales Manager</t>
  </si>
  <si>
    <t>12610 West Airport Blvd, Suite 100</t>
  </si>
  <si>
    <t>Sugar Land</t>
  </si>
  <si>
    <t>832-578-5259</t>
  </si>
  <si>
    <t>tom.nobis@wilsonmohr.com</t>
  </si>
  <si>
    <t>91-2145721</t>
  </si>
  <si>
    <t>Internap Network Services Corporation</t>
  </si>
  <si>
    <t>Kowenhoven</t>
  </si>
  <si>
    <t>Rubicon Energy Management</t>
  </si>
  <si>
    <t>130 Tanglewood Dr.</t>
  </si>
  <si>
    <t>Pittsburgh</t>
  </si>
  <si>
    <t>412-735-2674</t>
  </si>
  <si>
    <t>tkowenhoven@energyenablement.com</t>
  </si>
  <si>
    <t>20-4713543</t>
  </si>
  <si>
    <t>IT'Z Texas, L. P.</t>
  </si>
  <si>
    <t>Bang</t>
  </si>
  <si>
    <t>Duong</t>
  </si>
  <si>
    <t>bduong@realwinwin.com</t>
  </si>
  <si>
    <t>76-0370945</t>
  </si>
  <si>
    <t>J L Wood Electric Co Inc</t>
  </si>
  <si>
    <t>James</t>
  </si>
  <si>
    <t>5415 Yale St</t>
  </si>
  <si>
    <t>713-699-0555</t>
  </si>
  <si>
    <t>713-699-0864</t>
  </si>
  <si>
    <t>jameslwood@comcast.net</t>
  </si>
  <si>
    <t>20-3246812</t>
  </si>
  <si>
    <t>J&amp;V ELECTRIC COMPANY</t>
  </si>
  <si>
    <t>J&amp;V Electr</t>
  </si>
  <si>
    <t>Raymond</t>
  </si>
  <si>
    <t>Granda</t>
  </si>
  <si>
    <t>COO</t>
  </si>
  <si>
    <t>14015 Interdrive West</t>
  </si>
  <si>
    <t>rgranda@jandvelectric.com</t>
  </si>
  <si>
    <t>13-5583779</t>
  </si>
  <si>
    <t>J. C. Penney Corporation, Inc.</t>
  </si>
  <si>
    <t>76-0385181</t>
  </si>
  <si>
    <t>Jacob White Construction Company</t>
  </si>
  <si>
    <t>Mickler</t>
  </si>
  <si>
    <t>2000 W. Parkwood</t>
  </si>
  <si>
    <t>Friendswood</t>
  </si>
  <si>
    <t>281-286-6666</t>
  </si>
  <si>
    <t>281.480.7510</t>
  </si>
  <si>
    <t>jmickler@jacobwhitecc.com</t>
  </si>
  <si>
    <t>415-47-9211</t>
  </si>
  <si>
    <t>Jake Marshall Service Inc</t>
  </si>
  <si>
    <t>Eddie</t>
  </si>
  <si>
    <t>Neal</t>
  </si>
  <si>
    <t>Electrician</t>
  </si>
  <si>
    <t>611 W. Manning street</t>
  </si>
  <si>
    <t>Chattanooga</t>
  </si>
  <si>
    <t>423-421-4797</t>
  </si>
  <si>
    <t>eneal@jmservice.com</t>
  </si>
  <si>
    <t>75-2309957</t>
  </si>
  <si>
    <t>JBI Electrical Systems Inc.</t>
  </si>
  <si>
    <t>Tolbert</t>
  </si>
  <si>
    <t>5631 Stratum Dr</t>
  </si>
  <si>
    <t>817-589-1545</t>
  </si>
  <si>
    <t>btolbert@jbielectric.com</t>
  </si>
  <si>
    <t>234-29-5886</t>
  </si>
  <si>
    <t>JDM Associates</t>
  </si>
  <si>
    <t>JDM Associ</t>
  </si>
  <si>
    <t>Aaron</t>
  </si>
  <si>
    <t>Swift</t>
  </si>
  <si>
    <t>Consultant</t>
  </si>
  <si>
    <t>800 W. Broad St</t>
  </si>
  <si>
    <t>SUITE 303</t>
  </si>
  <si>
    <t>703-639-4265</t>
  </si>
  <si>
    <t>aswift@jdmgmt.com</t>
  </si>
  <si>
    <t>26-0468637</t>
  </si>
  <si>
    <t xml:space="preserve">Jim Whitten Roof Consultants, LLCM </t>
  </si>
  <si>
    <t xml:space="preserve">Whitten </t>
  </si>
  <si>
    <t>13279 Pond Springs Rd., Suite 3</t>
  </si>
  <si>
    <t>512-250-0999</t>
  </si>
  <si>
    <t>512-250-9711</t>
  </si>
  <si>
    <t>Cindy@jimwhitten.com</t>
  </si>
  <si>
    <t>46-1466657</t>
  </si>
  <si>
    <t>K &amp; L Facility Advisors, LLC</t>
  </si>
  <si>
    <t>Tiffany</t>
  </si>
  <si>
    <t>Kapp</t>
  </si>
  <si>
    <t>20514 Withington Drive</t>
  </si>
  <si>
    <t>281-636-2443</t>
  </si>
  <si>
    <t>tiffany@knladvisors.com</t>
  </si>
  <si>
    <t>22-2092160</t>
  </si>
  <si>
    <t>KATOEN NATIE GULF COAST INC.</t>
  </si>
  <si>
    <t>DAN</t>
  </si>
  <si>
    <t>FABER</t>
  </si>
  <si>
    <t>VP OF FINANCE AND ADMINISTRATION</t>
  </si>
  <si>
    <t>PO BOX 959</t>
  </si>
  <si>
    <t xml:space="preserve">LAPORTE </t>
  </si>
  <si>
    <t>281-941-1024</t>
  </si>
  <si>
    <t>DFABER@KTNUSA.COM</t>
  </si>
  <si>
    <t>45-4220061</t>
  </si>
  <si>
    <t>Kim Neal &amp; Associates, LLC</t>
  </si>
  <si>
    <t>Wes</t>
  </si>
  <si>
    <t>Blackwood</t>
  </si>
  <si>
    <t>Member</t>
  </si>
  <si>
    <t>5613 Lafayette Lane</t>
  </si>
  <si>
    <t>Frisco</t>
  </si>
  <si>
    <t>214-682-5831</t>
  </si>
  <si>
    <t>972-335-4038</t>
  </si>
  <si>
    <t>knallcwb@aol.com</t>
  </si>
  <si>
    <t>45-4070932</t>
  </si>
  <si>
    <t>Kingsgate Energy</t>
  </si>
  <si>
    <t>Travis</t>
  </si>
  <si>
    <t>VP Energy management</t>
  </si>
  <si>
    <t>3455 Mist Hollow Ct</t>
  </si>
  <si>
    <t>832-928-7837</t>
  </si>
  <si>
    <t>travis.rice@kingsgateenergy.com</t>
  </si>
  <si>
    <t>27-2333920</t>
  </si>
  <si>
    <t>KirEnergy Services LLC</t>
  </si>
  <si>
    <t>Roberts</t>
  </si>
  <si>
    <t>1909 Desoto Dr</t>
  </si>
  <si>
    <t>McKinney</t>
  </si>
  <si>
    <t>214-491-0366</t>
  </si>
  <si>
    <t>214-548-5226</t>
  </si>
  <si>
    <t>miker.kirenergy@gmail.com</t>
  </si>
  <si>
    <t>74-1954173</t>
  </si>
  <si>
    <t>KIRKSEY</t>
  </si>
  <si>
    <t>KAPIL</t>
  </si>
  <si>
    <t>UPADHYAYA</t>
  </si>
  <si>
    <t>ENERGY ANALYST</t>
  </si>
  <si>
    <t>6909 PORTWEST DRIVE</t>
  </si>
  <si>
    <t>713-426-7508</t>
  </si>
  <si>
    <t>kapilu@kirksey.com</t>
  </si>
  <si>
    <t>74-6002337</t>
  </si>
  <si>
    <t>Klein Independent School District</t>
  </si>
  <si>
    <t>Corbitt</t>
  </si>
  <si>
    <t>7200 Spring Cypress Road</t>
  </si>
  <si>
    <t>832-249-4474</t>
  </si>
  <si>
    <t>jcorbitt1@kleinisd.net</t>
  </si>
  <si>
    <t>31-1569568</t>
  </si>
  <si>
    <t>Kroger</t>
  </si>
  <si>
    <t>Kip</t>
  </si>
  <si>
    <t xml:space="preserve">Selby </t>
  </si>
  <si>
    <t>10168 Linn Station Road</t>
  </si>
  <si>
    <t>502-423-4180</t>
  </si>
  <si>
    <t xml:space="preserve">502-423-4710 </t>
  </si>
  <si>
    <t>kip.selby@kroger.com</t>
  </si>
  <si>
    <t>95-4356030</t>
  </si>
  <si>
    <t xml:space="preserve">Tim </t>
  </si>
  <si>
    <t>Ernstberger</t>
  </si>
  <si>
    <t>Mananger</t>
  </si>
  <si>
    <t>13271 O'Bannon Station Way</t>
  </si>
  <si>
    <t>tim.ernstberger@bluestoneconstruct.com</t>
  </si>
  <si>
    <t>31-0345740</t>
  </si>
  <si>
    <t>The Kroger Co.</t>
  </si>
  <si>
    <t>Kyle</t>
  </si>
  <si>
    <t>Seeling</t>
  </si>
  <si>
    <t>Corporate Incentive Engineer</t>
  </si>
  <si>
    <t>1014 Vine St - 19th Floor</t>
  </si>
  <si>
    <t>513-762-7047</t>
  </si>
  <si>
    <t>513-562-5058</t>
  </si>
  <si>
    <t>kyle.seeling@kroger.com</t>
  </si>
  <si>
    <t>35-2386849</t>
  </si>
  <si>
    <t>L&amp;G Energy Solutions</t>
  </si>
  <si>
    <t xml:space="preserve">Alejandro </t>
  </si>
  <si>
    <t>Lara</t>
  </si>
  <si>
    <t>16801 Radholme Ct Suite E</t>
  </si>
  <si>
    <t xml:space="preserve">Round Rock </t>
  </si>
  <si>
    <t>512-252-1143</t>
  </si>
  <si>
    <t>alara@lgenergys.com</t>
  </si>
  <si>
    <t>76-0050308</t>
  </si>
  <si>
    <t>Landmark Industries</t>
  </si>
  <si>
    <t>Zubel</t>
  </si>
  <si>
    <t>11111 Wilcrest Green, #100</t>
  </si>
  <si>
    <t>713-817-0632</t>
  </si>
  <si>
    <t>713-789-2010</t>
  </si>
  <si>
    <t>mzubel@landmarkindustries.com</t>
  </si>
  <si>
    <t>54-2080495</t>
  </si>
  <si>
    <t>Lange Mechanical Services, LP</t>
  </si>
  <si>
    <t>Stanley</t>
  </si>
  <si>
    <t>Caplan</t>
  </si>
  <si>
    <t>933 Wakefield Dr.</t>
  </si>
  <si>
    <t>281-822-5233</t>
  </si>
  <si>
    <t>scaplan@langemechanical.com</t>
  </si>
  <si>
    <t>407-35-6291</t>
  </si>
  <si>
    <t>LED Lighting of Houston</t>
  </si>
  <si>
    <t xml:space="preserve">Joshua </t>
  </si>
  <si>
    <t>Pitts</t>
  </si>
  <si>
    <t>Sir</t>
  </si>
  <si>
    <t>1507 Tuam St</t>
  </si>
  <si>
    <t>houston</t>
  </si>
  <si>
    <t>832-740-7983</t>
  </si>
  <si>
    <t>jpitts@ledlightingofhouston.com</t>
  </si>
  <si>
    <t>27-2271180</t>
  </si>
  <si>
    <t>LEDi2 Inc</t>
  </si>
  <si>
    <t>Wu</t>
  </si>
  <si>
    <t>Sales Manager</t>
  </si>
  <si>
    <t>10611 Harwin Dr Ste 402</t>
  </si>
  <si>
    <t>713-636-9152</t>
  </si>
  <si>
    <t>michael.wu@ledi2.com</t>
  </si>
  <si>
    <t>17-4118944</t>
  </si>
  <si>
    <t>Letsos Company</t>
  </si>
  <si>
    <t>Letsos III</t>
  </si>
  <si>
    <t>President / CEO</t>
  </si>
  <si>
    <t>P.O. Box 36927</t>
  </si>
  <si>
    <t>8435 Westglen Dr.</t>
  </si>
  <si>
    <t>713-783-3200</t>
  </si>
  <si>
    <t>713-972-7880</t>
  </si>
  <si>
    <t>jletsos@letsos.com</t>
  </si>
  <si>
    <t>47-0807040</t>
  </si>
  <si>
    <t>Level 3 Communications</t>
  </si>
  <si>
    <t>Steve</t>
  </si>
  <si>
    <t>Grogean</t>
  </si>
  <si>
    <t>Utilities Manager</t>
  </si>
  <si>
    <t>12001 North Freeway</t>
  </si>
  <si>
    <t>720-888-3802</t>
  </si>
  <si>
    <t>Steve.Grogean@Level3.com</t>
  </si>
  <si>
    <t>16-1697036</t>
  </si>
  <si>
    <t>Lighting network</t>
  </si>
  <si>
    <t xml:space="preserve">Calvin </t>
  </si>
  <si>
    <t>Golden</t>
  </si>
  <si>
    <t>15915 Darton St.</t>
  </si>
  <si>
    <t>800-927-5181</t>
  </si>
  <si>
    <t>(281)438-4070</t>
  </si>
  <si>
    <t>goldencalvin@yahoo.com</t>
  </si>
  <si>
    <t>16-1967036</t>
  </si>
  <si>
    <t>LIGHTING NETWORK, LLC</t>
  </si>
  <si>
    <t xml:space="preserve">CALVIN </t>
  </si>
  <si>
    <t>GOLDEN</t>
  </si>
  <si>
    <t>15915 DARTON ST.</t>
  </si>
  <si>
    <t>713-291-7922</t>
  </si>
  <si>
    <t>calvin.golden@sbcglobal.net</t>
  </si>
  <si>
    <t>04-3095032</t>
  </si>
  <si>
    <t>Lime Energy Services Company</t>
  </si>
  <si>
    <t>Lime Energy</t>
  </si>
  <si>
    <t>36-4197337</t>
  </si>
  <si>
    <t>Brennan</t>
  </si>
  <si>
    <t>National Incentives Analyst</t>
  </si>
  <si>
    <t>16-A Oak Branch Dr</t>
  </si>
  <si>
    <t>Greensboro</t>
  </si>
  <si>
    <t>336-852-5656</t>
  </si>
  <si>
    <t>bbrennan@lime-energy.com</t>
  </si>
  <si>
    <t>467-17-7519</t>
  </si>
  <si>
    <t>Lime Energy, Inc.</t>
  </si>
  <si>
    <t>Julia</t>
  </si>
  <si>
    <t>Ivy</t>
  </si>
  <si>
    <t>7801 N. Lamar, Suite C63</t>
  </si>
  <si>
    <t>512-452-7917</t>
  </si>
  <si>
    <t>512-452-9049</t>
  </si>
  <si>
    <t>jivy@lime-energy.com</t>
  </si>
  <si>
    <t>95-4404089</t>
  </si>
  <si>
    <t>Linc Lighting and Electric</t>
  </si>
  <si>
    <t>The Linc Group</t>
  </si>
  <si>
    <t>Nelson</t>
  </si>
  <si>
    <t>12611 Hiddencreek Way #G</t>
  </si>
  <si>
    <t>Cerritos</t>
  </si>
  <si>
    <t>562-805-3897</t>
  </si>
  <si>
    <t>562 404 2782</t>
  </si>
  <si>
    <t>jeff.nelson@thelincgroup.com</t>
  </si>
  <si>
    <t>20-0357050</t>
  </si>
  <si>
    <t>Linc Service, LLC</t>
  </si>
  <si>
    <t>Nix</t>
  </si>
  <si>
    <t>General Manager</t>
  </si>
  <si>
    <t>11710 North Freeway</t>
  </si>
  <si>
    <t>832-364-3965</t>
  </si>
  <si>
    <t>713-692-8767</t>
  </si>
  <si>
    <t>jim.nix@thelincgroup.com</t>
  </si>
  <si>
    <t>56-0748358</t>
  </si>
  <si>
    <t>Lowe''s Home Centers, Inc.</t>
  </si>
  <si>
    <t>Bradley</t>
  </si>
  <si>
    <t>Hincher</t>
  </si>
  <si>
    <t>Real Estate Site Incentives Manager</t>
  </si>
  <si>
    <t>P.O. Box 1111</t>
  </si>
  <si>
    <t>N. Wilkesboro</t>
  </si>
  <si>
    <t>336-658-4640</t>
  </si>
  <si>
    <t>Bradley.s.Hincher@lowes.com</t>
  </si>
  <si>
    <t>20-4043969</t>
  </si>
  <si>
    <t>LQ Management LLC.</t>
  </si>
  <si>
    <t>Elizabeth</t>
  </si>
  <si>
    <t>Perdomo</t>
  </si>
  <si>
    <t>PTAC Rebate Project Coordinator</t>
  </si>
  <si>
    <t>909 Hidden Ridge</t>
  </si>
  <si>
    <t>Ste. 600</t>
  </si>
  <si>
    <t>469-867-6447</t>
  </si>
  <si>
    <t>eperdomo2009@yahoo.com</t>
  </si>
  <si>
    <t>583-38-3944</t>
  </si>
  <si>
    <t>Lutron Electronics</t>
  </si>
  <si>
    <t xml:space="preserve">Robert </t>
  </si>
  <si>
    <t>Lutron Utility Team</t>
  </si>
  <si>
    <t>11706 Edgewater Ct</t>
  </si>
  <si>
    <t>Montgomery</t>
  </si>
  <si>
    <t>936-537-0532</t>
  </si>
  <si>
    <t>rmiller@lutron.com</t>
  </si>
  <si>
    <t>27-1173058</t>
  </si>
  <si>
    <t>LVI ENERGY</t>
  </si>
  <si>
    <t>Henkin</t>
  </si>
  <si>
    <t>Director Energy Projects</t>
  </si>
  <si>
    <t>20 Keyland Ct.</t>
  </si>
  <si>
    <t>Bohemia</t>
  </si>
  <si>
    <t>864-386-3866</t>
  </si>
  <si>
    <t>chenkin@lvienergy.com</t>
  </si>
  <si>
    <t>35-1562013</t>
  </si>
  <si>
    <t>M S International Inc</t>
  </si>
  <si>
    <t>Vijay</t>
  </si>
  <si>
    <t>Assist. Business Admin</t>
  </si>
  <si>
    <t>14777 Chrisman Road, Houston, TX 77039</t>
  </si>
  <si>
    <t>2092 N Batavia St, Orange, CA 92865</t>
  </si>
  <si>
    <t>14777 Chrisman St</t>
  </si>
  <si>
    <t>714-685-2764</t>
  </si>
  <si>
    <t>714 685 2778</t>
  </si>
  <si>
    <t>vijayan@msistone.com</t>
  </si>
  <si>
    <t>20-0887803</t>
  </si>
  <si>
    <t>M.C. LIGHTING MAINTENANCE, LLC</t>
  </si>
  <si>
    <t>LESLIE</t>
  </si>
  <si>
    <t>MAPLES</t>
  </si>
  <si>
    <t>1111 COLUMBIA CT.</t>
  </si>
  <si>
    <t>281-633-0524</t>
  </si>
  <si>
    <t>LESLIE@MCLIGHTINGMAINTENANCE.COM</t>
  </si>
  <si>
    <t>43-0398035</t>
  </si>
  <si>
    <t>Macy''s</t>
  </si>
  <si>
    <t>Maureen</t>
  </si>
  <si>
    <t>Radel</t>
  </si>
  <si>
    <t>Associate Manager of Rebates</t>
  </si>
  <si>
    <t>7 W Seventh St</t>
  </si>
  <si>
    <t>513-579-7169</t>
  </si>
  <si>
    <t>maureen.radel@macys.com</t>
  </si>
  <si>
    <t xml:space="preserve">Manco Electric </t>
  </si>
  <si>
    <t>Byron</t>
  </si>
  <si>
    <t>Manning</t>
  </si>
  <si>
    <t>18518 Cypress Rosehill Rd</t>
  </si>
  <si>
    <t>77429</t>
  </si>
  <si>
    <t>713-906-2154</t>
  </si>
  <si>
    <t>mancoelectric@att.net</t>
  </si>
  <si>
    <t>26-0420071</t>
  </si>
  <si>
    <t>Maneri Agraz, LLC.</t>
  </si>
  <si>
    <t>Maneri~Agraz, LLC.</t>
  </si>
  <si>
    <t>Maneri~Agr</t>
  </si>
  <si>
    <t>Maneri</t>
  </si>
  <si>
    <t>1620 W Sam Houston Pkwy N</t>
  </si>
  <si>
    <t>832-358-3900</t>
  </si>
  <si>
    <t>832-358-3927</t>
  </si>
  <si>
    <t>john@ma-llc.net</t>
  </si>
  <si>
    <t>34-0768831</t>
  </si>
  <si>
    <t>Mantua Manufacturing</t>
  </si>
  <si>
    <t>Pat</t>
  </si>
  <si>
    <t>Heintz</t>
  </si>
  <si>
    <t>5534 Armour Drive</t>
  </si>
  <si>
    <t>713-672-9811</t>
  </si>
  <si>
    <t>pheintz@bedframes.com</t>
  </si>
  <si>
    <t>76-0310923</t>
  </si>
  <si>
    <t>Marlin Environmental Products, Inc</t>
  </si>
  <si>
    <t>POB 1434</t>
  </si>
  <si>
    <t>jzolton@marlinenvironmental.com</t>
  </si>
  <si>
    <t>74-2460354</t>
  </si>
  <si>
    <t>Matheson Trigas</t>
  </si>
  <si>
    <t>Doug</t>
  </si>
  <si>
    <t>DeBerry</t>
  </si>
  <si>
    <t>South Central Zone Manager</t>
  </si>
  <si>
    <t>10430 Mula Rd</t>
  </si>
  <si>
    <t>832-347-3256</t>
  </si>
  <si>
    <t>ddeberry@matheson-trigas.com</t>
  </si>
  <si>
    <t>68-0640099</t>
  </si>
  <si>
    <t>Maximus Coffee Group</t>
  </si>
  <si>
    <t>Yvonne</t>
  </si>
  <si>
    <t>Rieger</t>
  </si>
  <si>
    <t>CI Manager</t>
  </si>
  <si>
    <t>3900 Harrisburg Blvd</t>
  </si>
  <si>
    <t>713-221-9240</t>
  </si>
  <si>
    <t>713-221-8719</t>
  </si>
  <si>
    <t>yvonne.rieger@maximuscoffee.com</t>
  </si>
  <si>
    <t>94-1722463</t>
  </si>
  <si>
    <t>Mazzetti Nash Lipsey Burch</t>
  </si>
  <si>
    <t>Drennon</t>
  </si>
  <si>
    <t>Cx Agent</t>
  </si>
  <si>
    <t>320 Seven Springs Way</t>
  </si>
  <si>
    <t>Suite 115</t>
  </si>
  <si>
    <t>Brentwood</t>
  </si>
  <si>
    <t>615-312-6493</t>
  </si>
  <si>
    <t>ddrennon@mazzetti.com</t>
  </si>
  <si>
    <t>48-0630549</t>
  </si>
  <si>
    <t>McBride Electric</t>
  </si>
  <si>
    <t>McBride of America</t>
  </si>
  <si>
    <t>Contract Developer</t>
  </si>
  <si>
    <t>1229 West 34th</t>
  </si>
  <si>
    <t>281-924-8064</t>
  </si>
  <si>
    <t>713-864-7776</t>
  </si>
  <si>
    <t>llumsden@mcBrideinc.con</t>
  </si>
  <si>
    <t>91-2055773</t>
  </si>
  <si>
    <t>McKinstry Co.</t>
  </si>
  <si>
    <t xml:space="preserve">Benjamin </t>
  </si>
  <si>
    <t>Woodhouse</t>
  </si>
  <si>
    <t>Lighting Project Coordinator</t>
  </si>
  <si>
    <t>5005 3rd. Ave S.</t>
  </si>
  <si>
    <t>Seattle</t>
  </si>
  <si>
    <t>253-347-0400</t>
  </si>
  <si>
    <t>benw@mckinstry.com</t>
  </si>
  <si>
    <t>74-6001118</t>
  </si>
  <si>
    <t>MD Anderson Cancer Center</t>
  </si>
  <si>
    <t>kiya</t>
  </si>
  <si>
    <t>beyene</t>
  </si>
  <si>
    <t>Energy Manager-Utility Resource Management</t>
  </si>
  <si>
    <t>p.o.box 301402</t>
  </si>
  <si>
    <t>Unit 608</t>
  </si>
  <si>
    <t>713-563-1128</t>
  </si>
  <si>
    <t>713-563-1131</t>
  </si>
  <si>
    <t>ktbeyene@mdanderson.org</t>
  </si>
  <si>
    <t>56-1973119</t>
  </si>
  <si>
    <t>Mechanical Systems and Services</t>
  </si>
  <si>
    <t>Sledge</t>
  </si>
  <si>
    <t xml:space="preserve">PO Box 32607 </t>
  </si>
  <si>
    <t>Charlotte</t>
  </si>
  <si>
    <t>704-293-8254</t>
  </si>
  <si>
    <t>704-943-1785</t>
  </si>
  <si>
    <t>neal.sledge@msssolutions.com</t>
  </si>
  <si>
    <t>31-1488610</t>
  </si>
  <si>
    <t>Melink Corporation</t>
  </si>
  <si>
    <t>Matchett</t>
  </si>
  <si>
    <t>5140 River Valley Road</t>
  </si>
  <si>
    <t>Milford</t>
  </si>
  <si>
    <t>512-529-8284</t>
  </si>
  <si>
    <t>jmatchett@melinkcorp.com</t>
  </si>
  <si>
    <t>74-1362536</t>
  </si>
  <si>
    <t>Memorial Drive Prebyterian Church</t>
  </si>
  <si>
    <t>Carter</t>
  </si>
  <si>
    <t>Bliss</t>
  </si>
  <si>
    <t>Director Facilities</t>
  </si>
  <si>
    <t>11612 Memorial Drive</t>
  </si>
  <si>
    <t>713-490-2012</t>
  </si>
  <si>
    <t>713-953-2584</t>
  </si>
  <si>
    <t>carterb@mdpc.org</t>
  </si>
  <si>
    <t>12-3456789</t>
  </si>
  <si>
    <t>Mi</t>
  </si>
  <si>
    <t>la</t>
  </si>
  <si>
    <t>lala</t>
  </si>
  <si>
    <t>9191 dllas</t>
  </si>
  <si>
    <t>819-100-1110</t>
  </si>
  <si>
    <t>dllorensd@kpmg.com</t>
  </si>
  <si>
    <t>75-1943604</t>
  </si>
  <si>
    <t>Michael's Store Inc</t>
  </si>
  <si>
    <t xml:space="preserve">Kyle </t>
  </si>
  <si>
    <t>Brekke</t>
  </si>
  <si>
    <t>800 Bent Branch Dr.</t>
  </si>
  <si>
    <t>972-409-5711</t>
  </si>
  <si>
    <t>972-409-1363</t>
  </si>
  <si>
    <t>brekkek@michaels.com</t>
  </si>
  <si>
    <t>20-2205004</t>
  </si>
  <si>
    <t>MIROR Lighting, Inc.</t>
  </si>
  <si>
    <t>Dana</t>
  </si>
  <si>
    <t>Gordon</t>
  </si>
  <si>
    <t>Controller</t>
  </si>
  <si>
    <t>14647 W. 95th St.</t>
  </si>
  <si>
    <t>913-495-9800</t>
  </si>
  <si>
    <t>913-541-8800</t>
  </si>
  <si>
    <t>Dana@mirorlighting.com</t>
  </si>
  <si>
    <t>74-2996020</t>
  </si>
  <si>
    <t>Mitsubishi Power Systems Americas</t>
  </si>
  <si>
    <t>Reynaldo</t>
  </si>
  <si>
    <t>Solis</t>
  </si>
  <si>
    <t>Maintenance/Facilities Supervisor</t>
  </si>
  <si>
    <t>8146 Miller Road 2</t>
  </si>
  <si>
    <t>281-456-0950</t>
  </si>
  <si>
    <t>rey.solis@MHPowerSystems.com</t>
  </si>
  <si>
    <t>27-1817639</t>
  </si>
  <si>
    <t>MODULIGHT USA LLC</t>
  </si>
  <si>
    <t xml:space="preserve">MAXIMILIANO </t>
  </si>
  <si>
    <t>DOMINGUEZ</t>
  </si>
  <si>
    <t>4960 CRANSWICK RD.</t>
  </si>
  <si>
    <t>281-657-5702</t>
  </si>
  <si>
    <t>maxd@modulight.com.mx</t>
  </si>
  <si>
    <t>Monterey Energy, Inc</t>
  </si>
  <si>
    <t>Grant</t>
  </si>
  <si>
    <t>Treanor</t>
  </si>
  <si>
    <t>1151 N. Del Rio Pl.</t>
  </si>
  <si>
    <t>Ontario</t>
  </si>
  <si>
    <t>91764</t>
  </si>
  <si>
    <t>214-533-2663</t>
  </si>
  <si>
    <t>gtreanor@montereycorp.com</t>
  </si>
  <si>
    <t>55-0817478</t>
  </si>
  <si>
    <t>Monterey Lighting Solutions</t>
  </si>
  <si>
    <t xml:space="preserve">John </t>
  </si>
  <si>
    <t>Janecka</t>
  </si>
  <si>
    <t>Service Provider</t>
  </si>
  <si>
    <t>2148 Pomona Blvd</t>
  </si>
  <si>
    <t>Pomona</t>
  </si>
  <si>
    <t>979-249-7395</t>
  </si>
  <si>
    <t>jjanecka@montereycorp.com</t>
  </si>
  <si>
    <t>74-2104454</t>
  </si>
  <si>
    <t>MRT Lighting</t>
  </si>
  <si>
    <t>Houston North A/C &amp; Refrigeration</t>
  </si>
  <si>
    <t xml:space="preserve">Mark </t>
  </si>
  <si>
    <t>Koen</t>
  </si>
  <si>
    <t>402 E. Tidwell</t>
  </si>
  <si>
    <t>PO Box 16008</t>
  </si>
  <si>
    <t>713-692-7702</t>
  </si>
  <si>
    <t>713-692-1311</t>
  </si>
  <si>
    <t>mwkoen@mrtlighting.com</t>
  </si>
  <si>
    <t>58-2084325</t>
  </si>
  <si>
    <t>National Energy Services, Inc.</t>
  </si>
  <si>
    <t>Corey</t>
  </si>
  <si>
    <t>Gowing</t>
  </si>
  <si>
    <t>Project Design and Development</t>
  </si>
  <si>
    <t>250 Hembree Park Drive</t>
  </si>
  <si>
    <t>Suite 114</t>
  </si>
  <si>
    <t>Roswell</t>
  </si>
  <si>
    <t>GA</t>
  </si>
  <si>
    <t>678-832-1752</t>
  </si>
  <si>
    <t>770-360-9031</t>
  </si>
  <si>
    <t>26-2652978</t>
  </si>
  <si>
    <t>National Energy Solutions, Inc</t>
  </si>
  <si>
    <t>Antonelli</t>
  </si>
  <si>
    <t>245 Lower Morrisville Rd</t>
  </si>
  <si>
    <t>Fallsington</t>
  </si>
  <si>
    <t>215-416-9427</t>
  </si>
  <si>
    <t>215-701-7518</t>
  </si>
  <si>
    <t>mikeantonelli.nesi@gmail.com</t>
  </si>
  <si>
    <t>04-3177694</t>
  </si>
  <si>
    <t>National Resource Management</t>
  </si>
  <si>
    <t>Carol</t>
  </si>
  <si>
    <t>Tobian</t>
  </si>
  <si>
    <t>480 Neponset Street, Building Two</t>
  </si>
  <si>
    <t>Canton</t>
  </si>
  <si>
    <t>781-828-8877</t>
  </si>
  <si>
    <t>(888) 983-1177</t>
  </si>
  <si>
    <t>ctobian@nrminc.com</t>
  </si>
  <si>
    <t>Neighborhood Centers</t>
  </si>
  <si>
    <t>Ernest</t>
  </si>
  <si>
    <t>Reyes</t>
  </si>
  <si>
    <t>4500 Bissonnet, Suite 200</t>
  </si>
  <si>
    <t>832-370-4120</t>
  </si>
  <si>
    <t>ereyes@neighborhood-centers.org</t>
  </si>
  <si>
    <t>39-0380010</t>
  </si>
  <si>
    <t>NES, A Johnson Controls Company</t>
  </si>
  <si>
    <t>Debbie</t>
  </si>
  <si>
    <t>Shepard</t>
  </si>
  <si>
    <t>678-832-1720</t>
  </si>
  <si>
    <t>678-252-0720</t>
  </si>
  <si>
    <t>Debbie.N.Shepard@jci.com</t>
  </si>
  <si>
    <t>75-2513429</t>
  </si>
  <si>
    <t>netLiNK Controls</t>
  </si>
  <si>
    <t>WLS Lighting Systems Inc</t>
  </si>
  <si>
    <t>Hawkins</t>
  </si>
  <si>
    <t>1919 Windsor Place</t>
  </si>
  <si>
    <t>817-840-9321</t>
  </si>
  <si>
    <t>817.731.0020</t>
  </si>
  <si>
    <t>jhawkins@wlslighting.com</t>
  </si>
  <si>
    <t>06-2292094</t>
  </si>
  <si>
    <t>New England Energy Management, Inc</t>
  </si>
  <si>
    <t>Hinson</t>
  </si>
  <si>
    <t>5 Shelter Rock Road</t>
  </si>
  <si>
    <t>Danbury</t>
  </si>
  <si>
    <t>203-792-1900</t>
  </si>
  <si>
    <t>203-792-1906</t>
  </si>
  <si>
    <t>scott@newenglandenergy.com</t>
  </si>
  <si>
    <t>06-1292094</t>
  </si>
  <si>
    <t>Molino</t>
  </si>
  <si>
    <t>Incentive Manager</t>
  </si>
  <si>
    <t xml:space="preserve">5 Shelter Rock rd </t>
  </si>
  <si>
    <t>Unit E</t>
  </si>
  <si>
    <t>donorato@newenglandenergy.com</t>
  </si>
  <si>
    <t>33-0843510</t>
  </si>
  <si>
    <t>Niagara Bottling, LLC</t>
  </si>
  <si>
    <t>Barbosa</t>
  </si>
  <si>
    <t>2560 E. Philadelphia St.</t>
  </si>
  <si>
    <t>949-735-7516</t>
  </si>
  <si>
    <t>bbarbosa@niagarawater.com</t>
  </si>
  <si>
    <t>26-1725886</t>
  </si>
  <si>
    <t>Noble Conservation Solutions, Inc.</t>
  </si>
  <si>
    <t>Ginzburg</t>
  </si>
  <si>
    <t>28 Campus Drive, Suite # 50</t>
  </si>
  <si>
    <t>763-438-6483</t>
  </si>
  <si>
    <t>tginzburg@noblecs.com</t>
  </si>
  <si>
    <t>75-1708793</t>
  </si>
  <si>
    <t>Nordco, Inc</t>
  </si>
  <si>
    <t>Cinda</t>
  </si>
  <si>
    <t>Nordgren</t>
  </si>
  <si>
    <t>Data Analyst</t>
  </si>
  <si>
    <t>P.O. Box 820875</t>
  </si>
  <si>
    <t>214-528-4670</t>
  </si>
  <si>
    <t>214-528-4883</t>
  </si>
  <si>
    <t>nordco@nordcoinc.com</t>
  </si>
  <si>
    <t>75-1991102</t>
  </si>
  <si>
    <t>NovaTech Energy Services Group</t>
  </si>
  <si>
    <t>McCrea</t>
  </si>
  <si>
    <t>Director of Technical Services</t>
  </si>
  <si>
    <t>755 109th Street</t>
  </si>
  <si>
    <t>Arlington</t>
  </si>
  <si>
    <t>817-261-6733</t>
  </si>
  <si>
    <t>817-795-8718</t>
  </si>
  <si>
    <t>smccrea@novatechesg.com</t>
  </si>
  <si>
    <t>20-2627568</t>
  </si>
  <si>
    <t>Novatech Energy Services Group, Inc.</t>
  </si>
  <si>
    <t>VP Operations/Technical Services</t>
  </si>
  <si>
    <t>27-5087075</t>
  </si>
  <si>
    <t>Obtainable Energy</t>
  </si>
  <si>
    <t>Shawn</t>
  </si>
  <si>
    <t>1804 Winding Way</t>
  </si>
  <si>
    <t>832-387-8828</t>
  </si>
  <si>
    <t>scox@obtainableenergy.com</t>
  </si>
  <si>
    <t>45-4547458</t>
  </si>
  <si>
    <t>Oensol LLC</t>
  </si>
  <si>
    <t>Steven</t>
  </si>
  <si>
    <t>Odom</t>
  </si>
  <si>
    <t>P.O. Box 57196</t>
  </si>
  <si>
    <t>Webster</t>
  </si>
  <si>
    <t>281-984-7199</t>
  </si>
  <si>
    <t>steven@oensol.com</t>
  </si>
  <si>
    <t>34-1573735</t>
  </si>
  <si>
    <t>OfficeMax</t>
  </si>
  <si>
    <t>PO BOX 15787</t>
  </si>
  <si>
    <t>80-0575706</t>
  </si>
  <si>
    <t>Ok Light Guy</t>
  </si>
  <si>
    <t>Rick</t>
  </si>
  <si>
    <t>801 McKenzie Road</t>
  </si>
  <si>
    <t>405-570-0111</t>
  </si>
  <si>
    <t>rick@oklightguy.com</t>
  </si>
  <si>
    <t>95-3298140</t>
  </si>
  <si>
    <t>Oldcastle Inc</t>
  </si>
  <si>
    <t>CRH</t>
  </si>
  <si>
    <t>Benton (BJ)</t>
  </si>
  <si>
    <t>Pittman</t>
  </si>
  <si>
    <t>Energy and Utility Manager</t>
  </si>
  <si>
    <t>20107 Sweet William Ct</t>
  </si>
  <si>
    <t>281-684-9583</t>
  </si>
  <si>
    <t>bpittman@oldcastleenergy.com</t>
  </si>
  <si>
    <t>33-0576371</t>
  </si>
  <si>
    <t>Onsite Energy Corporation</t>
  </si>
  <si>
    <t>Major</t>
  </si>
  <si>
    <t>2701 Loker Avenue West</t>
  </si>
  <si>
    <t>Suite 107</t>
  </si>
  <si>
    <t>Carlsbad</t>
  </si>
  <si>
    <t>760-931-2400</t>
  </si>
  <si>
    <t>760-931-2405</t>
  </si>
  <si>
    <t>bmajor@onsitenergy.com</t>
  </si>
  <si>
    <t>03-0560221</t>
  </si>
  <si>
    <t>Optimum Lighting</t>
  </si>
  <si>
    <t xml:space="preserve">Amanda </t>
  </si>
  <si>
    <t>Gurkin</t>
  </si>
  <si>
    <t>500-C Alexander Avenue</t>
  </si>
  <si>
    <t>Henderson</t>
  </si>
  <si>
    <t>919-550-9642</t>
  </si>
  <si>
    <t>amanda@optimumlighting.com</t>
  </si>
  <si>
    <t>39-2049228</t>
  </si>
  <si>
    <t>Orion Energy Systems</t>
  </si>
  <si>
    <t>Patty</t>
  </si>
  <si>
    <t>Sturtz</t>
  </si>
  <si>
    <t>Rebate Management</t>
  </si>
  <si>
    <t>2210 Woodland Drive</t>
  </si>
  <si>
    <t>Manitowoc</t>
  </si>
  <si>
    <t>WI</t>
  </si>
  <si>
    <t>920-892-5618</t>
  </si>
  <si>
    <t>psturtz@oesx.com</t>
  </si>
  <si>
    <t>39-1847269</t>
  </si>
  <si>
    <t>Jarosh</t>
  </si>
  <si>
    <t>Senior Rebate Analyst</t>
  </si>
  <si>
    <t>1204 Pilgrim Road</t>
  </si>
  <si>
    <t>920-892-5762</t>
  </si>
  <si>
    <t>djj@oes1.com</t>
  </si>
  <si>
    <t>80-0705735</t>
  </si>
  <si>
    <t>Orion Southwest</t>
  </si>
  <si>
    <t>Sharvil</t>
  </si>
  <si>
    <t>Kapadia</t>
  </si>
  <si>
    <t>2024 W. 1st Street, Suite #103</t>
  </si>
  <si>
    <t>Tempe</t>
  </si>
  <si>
    <t>480-203-2485</t>
  </si>
  <si>
    <t>480-209-1640</t>
  </si>
  <si>
    <t>skapadia@oessw.com</t>
  </si>
  <si>
    <t>73-1561426</t>
  </si>
  <si>
    <t>OxyVinyls, LP</t>
  </si>
  <si>
    <t>Wardle</t>
  </si>
  <si>
    <t>Market Specialist</t>
  </si>
  <si>
    <t>5 Greenway Plaza</t>
  </si>
  <si>
    <t>713-215-7142</t>
  </si>
  <si>
    <t>713-985-1453</t>
  </si>
  <si>
    <t>Scott_Wardle@oxy.com</t>
  </si>
  <si>
    <t>55-0817917</t>
  </si>
  <si>
    <t>Parke Industries</t>
  </si>
  <si>
    <t>Fred Yeo</t>
  </si>
  <si>
    <t>Yeo</t>
  </si>
  <si>
    <t>6207 Bee Cave Rd</t>
  </si>
  <si>
    <t xml:space="preserve">Austin </t>
  </si>
  <si>
    <t>512-535-4300</t>
  </si>
  <si>
    <t>512-535-5498</t>
  </si>
  <si>
    <t>ewilson@parkeindustries.com</t>
  </si>
  <si>
    <t>74-2053733</t>
  </si>
  <si>
    <t xml:space="preserve">Parkway Chevrolet </t>
  </si>
  <si>
    <t>Forbes</t>
  </si>
  <si>
    <t>Durdin</t>
  </si>
  <si>
    <t>GM</t>
  </si>
  <si>
    <t>25500 State Highway 249</t>
  </si>
  <si>
    <t>Tomball</t>
  </si>
  <si>
    <t>713-306-3285</t>
  </si>
  <si>
    <t>fdurdin@parkwaychevrolet.com</t>
  </si>
  <si>
    <t>81-0583600</t>
  </si>
  <si>
    <t>Parkway Electric &amp; Communications</t>
  </si>
  <si>
    <t>Geurink</t>
  </si>
  <si>
    <t>11952 James St.</t>
  </si>
  <si>
    <t>Holland</t>
  </si>
  <si>
    <t>616-820-1122</t>
  </si>
  <si>
    <t>616-392-6880</t>
  </si>
  <si>
    <t>eric.geurink@parkwayelectric.com</t>
  </si>
  <si>
    <t>72-1344324</t>
  </si>
  <si>
    <t>Parkway Properties</t>
  </si>
  <si>
    <t>Karen</t>
  </si>
  <si>
    <t>Wheatley</t>
  </si>
  <si>
    <t>1926 Arch Street; Suite 4F</t>
  </si>
  <si>
    <t>kwheatley@realwinwin.com</t>
  </si>
  <si>
    <t>73-1575986</t>
  </si>
  <si>
    <t>Performance Consulting Group</t>
  </si>
  <si>
    <t>Kent</t>
  </si>
  <si>
    <t>Driver</t>
  </si>
  <si>
    <t>621 24th Ave. SW</t>
  </si>
  <si>
    <t>405-447-2977</t>
  </si>
  <si>
    <t>405-447-2966</t>
  </si>
  <si>
    <t>36-3562406</t>
  </si>
  <si>
    <t>Performance Roof Systems</t>
  </si>
  <si>
    <t xml:space="preserve">Michael </t>
  </si>
  <si>
    <t>Hassenauer</t>
  </si>
  <si>
    <t>Commercial Manager</t>
  </si>
  <si>
    <t>4800 Blue Parkway</t>
  </si>
  <si>
    <t xml:space="preserve">Kansas City </t>
  </si>
  <si>
    <t>816-714-6210</t>
  </si>
  <si>
    <t>michael@derbigum.com</t>
  </si>
  <si>
    <t>17-4198666</t>
  </si>
  <si>
    <t>Piping Technology &amp; Products, Inc</t>
  </si>
  <si>
    <t>Piping Technology $ Products, Inc</t>
  </si>
  <si>
    <t>Larry</t>
  </si>
  <si>
    <t>Altshuler</t>
  </si>
  <si>
    <t>Material Manager</t>
  </si>
  <si>
    <t>3701 Holmes Road</t>
  </si>
  <si>
    <t>na</t>
  </si>
  <si>
    <t>713-443-0426</t>
  </si>
  <si>
    <t>713-734-5767</t>
  </si>
  <si>
    <t>larry@pipingtech.com</t>
  </si>
  <si>
    <t>80-0117812</t>
  </si>
  <si>
    <t>PMG Energy Solutions</t>
  </si>
  <si>
    <t>PMG Project Management Group</t>
  </si>
  <si>
    <t>DeMarco</t>
  </si>
  <si>
    <t>Blaylock</t>
  </si>
  <si>
    <t>2723 Houston Ave</t>
  </si>
  <si>
    <t>2121 Broadway</t>
  </si>
  <si>
    <t>713-880-2626</t>
  </si>
  <si>
    <t>713-880-5186</t>
  </si>
  <si>
    <t>demarcoblaylock@pmgunited.com</t>
  </si>
  <si>
    <t>75-2553905</t>
  </si>
  <si>
    <t>Prism Electric</t>
  </si>
  <si>
    <t>1229 West 34th Street</t>
  </si>
  <si>
    <t>713-864-7800</t>
  </si>
  <si>
    <t>llumsden@prismelectric.com</t>
  </si>
  <si>
    <t>43-1545111</t>
  </si>
  <si>
    <t>Project Solutions Companies</t>
  </si>
  <si>
    <t>Orin</t>
  </si>
  <si>
    <t>Energy/Utilities Specialist</t>
  </si>
  <si>
    <t>2005 West Broadway</t>
  </si>
  <si>
    <t>Suite 210</t>
  </si>
  <si>
    <t>Columbia</t>
  </si>
  <si>
    <t>573-999-6533</t>
  </si>
  <si>
    <t>573-443-7181</t>
  </si>
  <si>
    <t>omurray@projsolco.com</t>
  </si>
  <si>
    <t>01-0625983</t>
  </si>
  <si>
    <t>Pure Power Group</t>
  </si>
  <si>
    <t>Hubert</t>
  </si>
  <si>
    <t>100 W. Southlake Blvd</t>
  </si>
  <si>
    <t>Suite #142A</t>
  </si>
  <si>
    <t>Southlake</t>
  </si>
  <si>
    <t>817-500-0088</t>
  </si>
  <si>
    <t>972-559-3507</t>
  </si>
  <si>
    <t>shubert@purepowergroup.com</t>
  </si>
  <si>
    <t>Rapid Power Management</t>
  </si>
  <si>
    <t>Katie</t>
  </si>
  <si>
    <t>Casse</t>
  </si>
  <si>
    <t>19111 Dallas Pkwy</t>
  </si>
  <si>
    <t>469-759-1460</t>
  </si>
  <si>
    <t>kcasse@rapidpower.net</t>
  </si>
  <si>
    <t>12-6063909</t>
  </si>
  <si>
    <t>raw electrical services llc</t>
  </si>
  <si>
    <t>martin</t>
  </si>
  <si>
    <t>campbell</t>
  </si>
  <si>
    <t>project manager</t>
  </si>
  <si>
    <t>7218 oak village</t>
  </si>
  <si>
    <t>humble</t>
  </si>
  <si>
    <t>713-305-1468</t>
  </si>
  <si>
    <t>rawelectri@comcast.net</t>
  </si>
  <si>
    <t>76-0146264</t>
  </si>
  <si>
    <t>Reagan Quality Lamps, Inc.</t>
  </si>
  <si>
    <t>Reagan Quality Lighting</t>
  </si>
  <si>
    <t>Reagan Qua</t>
  </si>
  <si>
    <t>Phyllis</t>
  </si>
  <si>
    <t>Bates</t>
  </si>
  <si>
    <t>Executive Vice President</t>
  </si>
  <si>
    <t>32402 Tamina Road</t>
  </si>
  <si>
    <t>Magnolia</t>
  </si>
  <si>
    <t>77354-3444</t>
  </si>
  <si>
    <t>281-259-9100</t>
  </si>
  <si>
    <t>281-259-6057</t>
  </si>
  <si>
    <t>reagan7784@sbcglobal.net</t>
  </si>
  <si>
    <t>23-3099989</t>
  </si>
  <si>
    <t>RealWinWin, Inc.</t>
  </si>
  <si>
    <t xml:space="preserve">Timothy </t>
  </si>
  <si>
    <t xml:space="preserve">Mayo </t>
  </si>
  <si>
    <t>Utility Manager</t>
  </si>
  <si>
    <t>1926 Arch Street, Suite 4F</t>
  </si>
  <si>
    <t>215-732-0488</t>
  </si>
  <si>
    <t>TMayo@realwinwin.com</t>
  </si>
  <si>
    <t>76-0641174</t>
  </si>
  <si>
    <t>Redding Linden Burr Consulting Engineers</t>
  </si>
  <si>
    <t>Redding</t>
  </si>
  <si>
    <t>Suite 2000</t>
  </si>
  <si>
    <t>713-237-9800</t>
  </si>
  <si>
    <t>713-237-9801</t>
  </si>
  <si>
    <t>sredding@rlbengineers.com</t>
  </si>
  <si>
    <t>95-3601775</t>
  </si>
  <si>
    <t>Regency Lighting</t>
  </si>
  <si>
    <t xml:space="preserve">Isaac </t>
  </si>
  <si>
    <t>Regenstreif</t>
  </si>
  <si>
    <t>9261 Jordan Ave</t>
  </si>
  <si>
    <t>Chatsworth</t>
  </si>
  <si>
    <t>800-284-2024</t>
  </si>
  <si>
    <t>isaac.regenstreif@regencylighting.com</t>
  </si>
  <si>
    <t>605-46-4049</t>
  </si>
  <si>
    <t>Reliable Energy Solutions</t>
  </si>
  <si>
    <t>Rakesh</t>
  </si>
  <si>
    <t>Nankani</t>
  </si>
  <si>
    <t>13 Highwood Ct</t>
  </si>
  <si>
    <t>Azusa</t>
  </si>
  <si>
    <t>626-244-6122</t>
  </si>
  <si>
    <t>Rnankani11@gmail.com</t>
  </si>
  <si>
    <t>17-6060592</t>
  </si>
  <si>
    <t>Retro Lighting &amp; Conservation</t>
  </si>
  <si>
    <t>Tomasello</t>
  </si>
  <si>
    <t>VP</t>
  </si>
  <si>
    <t>3407 Autumn Bend dr</t>
  </si>
  <si>
    <t>281-302-6431</t>
  </si>
  <si>
    <t>281-645-6613</t>
  </si>
  <si>
    <t>retrolighting@comcast.net</t>
  </si>
  <si>
    <t>REXEL USA</t>
  </si>
  <si>
    <t>Cindy</t>
  </si>
  <si>
    <t>Gintner</t>
  </si>
  <si>
    <t>Energy Solutions Specialist</t>
  </si>
  <si>
    <t>2965 Commodore Dr.</t>
  </si>
  <si>
    <t>972-389-5511</t>
  </si>
  <si>
    <t>972-245-0685</t>
  </si>
  <si>
    <t>Cynthia.gintner@rexelusa.com</t>
  </si>
  <si>
    <t>74-2828735</t>
  </si>
  <si>
    <t>Ringdale, Inc.</t>
  </si>
  <si>
    <t>Consultant, EnergyManagement</t>
  </si>
  <si>
    <t>101 Halmar Cove</t>
  </si>
  <si>
    <t>512-288-9080</t>
  </si>
  <si>
    <t>jmontgomery@ringdale.com</t>
  </si>
  <si>
    <t>20-3065430</t>
  </si>
  <si>
    <t>ROGERS ELECTRIC</t>
  </si>
  <si>
    <t>LISA</t>
  </si>
  <si>
    <t>SWIENTON</t>
  </si>
  <si>
    <t>DIRECTOR OF LIGHTING PROJECT DEVELOPMENT</t>
  </si>
  <si>
    <t>2050 MARCONI DR</t>
  </si>
  <si>
    <t>ALPHARETTA</t>
  </si>
  <si>
    <t>630-649-3207</t>
  </si>
  <si>
    <t>770-234-5064</t>
  </si>
  <si>
    <t>LSWIENTON@LROGERSELECTRIC.COM</t>
  </si>
  <si>
    <t>511-80-3181</t>
  </si>
  <si>
    <t>Rooftop Energy Solutions</t>
  </si>
  <si>
    <t>Kickhaefer</t>
  </si>
  <si>
    <t>18719 Long Trace Drive</t>
  </si>
  <si>
    <t>Humble</t>
  </si>
  <si>
    <t>832-592-3571</t>
  </si>
  <si>
    <t>jason@rooftopenergysolutions.com</t>
  </si>
  <si>
    <t>178-40-2444</t>
  </si>
  <si>
    <t>Rose Lighting Services</t>
  </si>
  <si>
    <t>6635 Sumner Isle Ct</t>
  </si>
  <si>
    <t>281-370-4077</t>
  </si>
  <si>
    <t>brose@roselighting.com</t>
  </si>
  <si>
    <t>75-1673348</t>
  </si>
  <si>
    <t>Ross Stores</t>
  </si>
  <si>
    <t>Shannon</t>
  </si>
  <si>
    <t>Popp</t>
  </si>
  <si>
    <t>c/o RealWinWin PO Box 15787</t>
  </si>
  <si>
    <t>spopp@realwinwin.com</t>
  </si>
  <si>
    <t>71-0388071</t>
  </si>
  <si>
    <t>RWW / Dillards, Inc</t>
  </si>
  <si>
    <t xml:space="preserve">Jeffery </t>
  </si>
  <si>
    <t>Bowen</t>
  </si>
  <si>
    <t>Director of Techical Operations</t>
  </si>
  <si>
    <t>1600 Cantrell Rd.</t>
  </si>
  <si>
    <t>Little Rock</t>
  </si>
  <si>
    <t>13-3557362</t>
  </si>
  <si>
    <t>RWW / Kohl's Department Stores, Inc.</t>
  </si>
  <si>
    <t>59-2663954</t>
  </si>
  <si>
    <t>RWW / Office Depot</t>
  </si>
  <si>
    <t xml:space="preserve">Philadelphia </t>
  </si>
  <si>
    <t>20-0559433</t>
  </si>
  <si>
    <t>RWW / Ross Stores Inc.</t>
  </si>
  <si>
    <t>36-1924026</t>
  </si>
  <si>
    <t>RWW / Walgreens Co</t>
  </si>
  <si>
    <t>94-3019135</t>
  </si>
  <si>
    <t>Safeway, Inc.</t>
  </si>
  <si>
    <t>P.O. Box 204</t>
  </si>
  <si>
    <t>239 Rt. 28</t>
  </si>
  <si>
    <t>cbanks@EnergyLogicInc.com</t>
  </si>
  <si>
    <t>74-6054173</t>
  </si>
  <si>
    <t>SALEM LUTHERAN CHURCH</t>
  </si>
  <si>
    <t>JAMES</t>
  </si>
  <si>
    <t>RECTOR</t>
  </si>
  <si>
    <t>FACILITIES DIRECTOR</t>
  </si>
  <si>
    <t>22601 LUTHERAN CHURCH ROAD</t>
  </si>
  <si>
    <t xml:space="preserve">TOMBALL </t>
  </si>
  <si>
    <t>281-351-8223</t>
  </si>
  <si>
    <t>JRECTOR@SALEM4U.COM</t>
  </si>
  <si>
    <t>27-5444735</t>
  </si>
  <si>
    <t>Salem Town &amp; Country Leather-Houston, Inc</t>
  </si>
  <si>
    <t xml:space="preserve">Eric </t>
  </si>
  <si>
    <t>1749 Post Oak Blvd</t>
  </si>
  <si>
    <t>713-621-3366</t>
  </si>
  <si>
    <t>713-621-3368</t>
  </si>
  <si>
    <t>ees@townandcountryleather.com</t>
  </si>
  <si>
    <t>75-2066352</t>
  </si>
  <si>
    <t>Schneider Electric Buildings Americas, Inc.</t>
  </si>
  <si>
    <t>McWilliams</t>
  </si>
  <si>
    <t>Engineer II</t>
  </si>
  <si>
    <t>1650 West Crosby Road</t>
  </si>
  <si>
    <t>972-323-4873</t>
  </si>
  <si>
    <t>972-323-5498</t>
  </si>
  <si>
    <t>michael.mcwilliams@schneider-electric.com</t>
  </si>
  <si>
    <t>636-Schwan Food Company</t>
  </si>
  <si>
    <t>Schwan Food Company</t>
  </si>
  <si>
    <t>Donald</t>
  </si>
  <si>
    <t>Scruggs</t>
  </si>
  <si>
    <t>Plant Engineer</t>
  </si>
  <si>
    <t>612 Georgia Ave</t>
  </si>
  <si>
    <t>Deer Park</t>
  </si>
  <si>
    <t>713-320-0323</t>
  </si>
  <si>
    <t>donald.scruggs@schwans.com</t>
  </si>
  <si>
    <t>91-1350847</t>
  </si>
  <si>
    <t>Seahurst Electric</t>
  </si>
  <si>
    <t>2915 Chestnut Street</t>
  </si>
  <si>
    <t>Everett</t>
  </si>
  <si>
    <t>425-258-1882</t>
  </si>
  <si>
    <t>dthomas@seahurst.com</t>
  </si>
  <si>
    <t>41-1787792</t>
  </si>
  <si>
    <t>Sebesta Blomberg &amp; Associates, Inc.</t>
  </si>
  <si>
    <t>Henry</t>
  </si>
  <si>
    <t>Gohlke</t>
  </si>
  <si>
    <t>5300 Memorial Drive, Suite 390</t>
  </si>
  <si>
    <t>832-327-2529</t>
  </si>
  <si>
    <t>hgohlke@sebesta.com</t>
  </si>
  <si>
    <t>74-2882346</t>
  </si>
  <si>
    <t>selectransportation resources llc</t>
  </si>
  <si>
    <t>daryl</t>
  </si>
  <si>
    <t>oakes</t>
  </si>
  <si>
    <t>facility engineer</t>
  </si>
  <si>
    <t>9550 n loop east</t>
  </si>
  <si>
    <t>281-914-1543</t>
  </si>
  <si>
    <t>daryl.oakes@strhouston.com</t>
  </si>
  <si>
    <t>58-2616917</t>
  </si>
  <si>
    <t>Servidyne Systems LLC</t>
  </si>
  <si>
    <t>Business Development Specialist</t>
  </si>
  <si>
    <t>1945 The Exchange</t>
  </si>
  <si>
    <t>Suite 325</t>
  </si>
  <si>
    <t>Atlanta</t>
  </si>
  <si>
    <t>770-314-3294</t>
  </si>
  <si>
    <t>770-916-7175</t>
  </si>
  <si>
    <t>brian.hughes@servidyne.com</t>
  </si>
  <si>
    <t>74-1143086</t>
  </si>
  <si>
    <t>Seven Acres Jewish Senior Care Services</t>
  </si>
  <si>
    <t>Marsha</t>
  </si>
  <si>
    <t>Doctor</t>
  </si>
  <si>
    <t>Administrator of Campus Services</t>
  </si>
  <si>
    <t>6200 N. Braeswood Blvd.</t>
  </si>
  <si>
    <t>713-778-5746</t>
  </si>
  <si>
    <t>713-778-0823</t>
  </si>
  <si>
    <t>mcayton@sevenacres.org</t>
  </si>
  <si>
    <t>76-0423147</t>
  </si>
  <si>
    <t>Shah Smith &amp; Associates, Inc.</t>
  </si>
  <si>
    <t>Jeffery</t>
  </si>
  <si>
    <t>Bolander</t>
  </si>
  <si>
    <t>Senior Principal</t>
  </si>
  <si>
    <t>2825 Wilcrest Dr., Suite 350</t>
  </si>
  <si>
    <t>713-780-7563</t>
  </si>
  <si>
    <t>jbolander@shahsmith.com</t>
  </si>
  <si>
    <t>20-0608089</t>
  </si>
  <si>
    <t>Siemens Building Technologies, Inc</t>
  </si>
  <si>
    <t xml:space="preserve">Chad </t>
  </si>
  <si>
    <t>Nobels</t>
  </si>
  <si>
    <t>8850 Fallbrook</t>
  </si>
  <si>
    <t>281-949-3059</t>
  </si>
  <si>
    <t>xxx@xxx.com</t>
  </si>
  <si>
    <t>13-2762488</t>
  </si>
  <si>
    <t>Siemens Industry Inc.</t>
  </si>
  <si>
    <t>Nick</t>
  </si>
  <si>
    <t>Steinbuck</t>
  </si>
  <si>
    <t>281-949-3073</t>
  </si>
  <si>
    <t>281-949-3100</t>
  </si>
  <si>
    <t>nick.steinbuck@siemens.com</t>
  </si>
  <si>
    <t>05-0533278</t>
  </si>
  <si>
    <t>SmartWatt Energy</t>
  </si>
  <si>
    <t xml:space="preserve">SmartWatt </t>
  </si>
  <si>
    <t>Samuel</t>
  </si>
  <si>
    <t>Lincoln</t>
  </si>
  <si>
    <t>Project Associate</t>
  </si>
  <si>
    <t>2233 E. Grauwyler, Suite 119</t>
  </si>
  <si>
    <t>469-586-5147</t>
  </si>
  <si>
    <t>469-586-5156</t>
  </si>
  <si>
    <t>slincoln@smartwattinc.com</t>
  </si>
  <si>
    <t>52-2117007</t>
  </si>
  <si>
    <t>Sodexo Services of Texas Limited Partnership</t>
  </si>
  <si>
    <t>Babin</t>
  </si>
  <si>
    <t>Solution Development Manager</t>
  </si>
  <si>
    <t>25026 Romadelo Drive</t>
  </si>
  <si>
    <t>Louisburg</t>
  </si>
  <si>
    <t>913-484-4185</t>
  </si>
  <si>
    <t>Paul.Babin@sodexo.com</t>
  </si>
  <si>
    <t>531-60-6403</t>
  </si>
  <si>
    <t>Solar Motels</t>
  </si>
  <si>
    <t>Syed</t>
  </si>
  <si>
    <t>Kazimi</t>
  </si>
  <si>
    <t>1802 Cheyenne River Crcle</t>
  </si>
  <si>
    <t xml:space="preserve">Sugar Land </t>
  </si>
  <si>
    <t>832-729-8203</t>
  </si>
  <si>
    <t>safdarkazimi@hotmail.com</t>
  </si>
  <si>
    <t>33-0775427</t>
  </si>
  <si>
    <t>Solis Lighting and Electrical Services</t>
  </si>
  <si>
    <t>Fred</t>
  </si>
  <si>
    <t>Berg</t>
  </si>
  <si>
    <t>940 Calle Negocio Suite 250</t>
  </si>
  <si>
    <t>San Clemente</t>
  </si>
  <si>
    <t>949-443-2290</t>
  </si>
  <si>
    <t>949-248-8621</t>
  </si>
  <si>
    <t>Fred.Berg@Solisusa.com</t>
  </si>
  <si>
    <t>27-1180748</t>
  </si>
  <si>
    <t>Sorel Energy LLC</t>
  </si>
  <si>
    <t>Harry</t>
  </si>
  <si>
    <t>Klein</t>
  </si>
  <si>
    <t>President/CEO</t>
  </si>
  <si>
    <t>100 Jackson</t>
  </si>
  <si>
    <t>Suite 130</t>
  </si>
  <si>
    <t>713-589-4980</t>
  </si>
  <si>
    <t>713-222-2529</t>
  </si>
  <si>
    <t>harry@sorelenergy.com</t>
  </si>
  <si>
    <t>11-3695783</t>
  </si>
  <si>
    <t>Southpoint Solutions</t>
  </si>
  <si>
    <t>Southpoint</t>
  </si>
  <si>
    <t>Moore</t>
  </si>
  <si>
    <t>9374 Old Bailes Rd</t>
  </si>
  <si>
    <t>Fort Mill</t>
  </si>
  <si>
    <t>803-802-7330</t>
  </si>
  <si>
    <t>803-802-7332</t>
  </si>
  <si>
    <t>valerie.moore@southpointsolutions.com</t>
  </si>
  <si>
    <t>Spark Lighting, LLC</t>
  </si>
  <si>
    <t>DeBarbieris</t>
  </si>
  <si>
    <t>7714 Renwick, Suite 36</t>
  </si>
  <si>
    <t>832-971-2551</t>
  </si>
  <si>
    <t>andrew@sparklightinginc.com</t>
  </si>
  <si>
    <t>75-3232003</t>
  </si>
  <si>
    <t>Sparkman Electric, LLC</t>
  </si>
  <si>
    <t>Jennifer</t>
  </si>
  <si>
    <t>Berrier</t>
  </si>
  <si>
    <t>PO Box 14773</t>
  </si>
  <si>
    <t>Haltom City</t>
  </si>
  <si>
    <t>817-744-8790</t>
  </si>
  <si>
    <t>817-744-8791</t>
  </si>
  <si>
    <t>office@sparkmanelectricllc.com</t>
  </si>
  <si>
    <t>Specialty Lighting Group</t>
  </si>
  <si>
    <t>Laura</t>
  </si>
  <si>
    <t>Lehane</t>
  </si>
  <si>
    <t>35 Industrial Park Road, #10</t>
  </si>
  <si>
    <t>Centerbrook</t>
  </si>
  <si>
    <t>06409</t>
  </si>
  <si>
    <t>860-767-0110</t>
  </si>
  <si>
    <t>ll@sslighting.com</t>
  </si>
  <si>
    <t>16-1171179</t>
  </si>
  <si>
    <t>Standard Parking Corporation</t>
  </si>
  <si>
    <t>Jeremy</t>
  </si>
  <si>
    <t>Wendt</t>
  </si>
  <si>
    <t>Facility Manager</t>
  </si>
  <si>
    <t>611 Clay Street</t>
  </si>
  <si>
    <t>713-207-7675</t>
  </si>
  <si>
    <t>713-207-7676</t>
  </si>
  <si>
    <t>jwendt@standardparking.com</t>
  </si>
  <si>
    <t>20-4482499</t>
  </si>
  <si>
    <t>Standard Renewable Energy</t>
  </si>
  <si>
    <t>Charles</t>
  </si>
  <si>
    <t>55 Waugh</t>
  </si>
  <si>
    <t>#800</t>
  </si>
  <si>
    <t>281-768-4879</t>
  </si>
  <si>
    <t>charles.craig@gridpoint.com</t>
  </si>
  <si>
    <t>98-7654321</t>
  </si>
  <si>
    <t>SteveCo</t>
  </si>
  <si>
    <t>McMinn</t>
  </si>
  <si>
    <t>Jefe Grande</t>
  </si>
  <si>
    <t>909 Fannin Suite 1275</t>
  </si>
  <si>
    <t>713-982-5559</t>
  </si>
  <si>
    <t>713-739-0741</t>
  </si>
  <si>
    <t>smcminn@nexant.com</t>
  </si>
  <si>
    <t>74-1509475</t>
  </si>
  <si>
    <t>Straus Systems, Inc.</t>
  </si>
  <si>
    <t>Alexander</t>
  </si>
  <si>
    <t>P.O. Box 1189</t>
  </si>
  <si>
    <t>7 Straus Court</t>
  </si>
  <si>
    <t>281-498-1689</t>
  </si>
  <si>
    <t>281-933-7601</t>
  </si>
  <si>
    <t>palexander@straussystems.com</t>
  </si>
  <si>
    <t>33-0650291</t>
  </si>
  <si>
    <t>Sun and Sun Industries, Inc.</t>
  </si>
  <si>
    <t>Judith</t>
  </si>
  <si>
    <t>Brown</t>
  </si>
  <si>
    <t>Program Manager</t>
  </si>
  <si>
    <t>jbrown@sunindustriesinc.com</t>
  </si>
  <si>
    <t>Sunset Glass Tinting</t>
  </si>
  <si>
    <t>Eddy</t>
  </si>
  <si>
    <t>Russell</t>
  </si>
  <si>
    <t>3760 Greenbriar Dr</t>
  </si>
  <si>
    <t>77477</t>
  </si>
  <si>
    <t>281-494-7161</t>
  </si>
  <si>
    <t>eddy@sunsetglasstinting.com</t>
  </si>
  <si>
    <t>456-84-0676</t>
  </si>
  <si>
    <t>Sunvestors</t>
  </si>
  <si>
    <t>Longoria</t>
  </si>
  <si>
    <t>4517 Kinglet</t>
  </si>
  <si>
    <t>713-729-6082</t>
  </si>
  <si>
    <t>boblongoria@hotmail.com</t>
  </si>
  <si>
    <t>26-4636022</t>
  </si>
  <si>
    <t>Superior Lighting</t>
  </si>
  <si>
    <t>Warren</t>
  </si>
  <si>
    <t>Crabtree</t>
  </si>
  <si>
    <t>3036 Miller County 22</t>
  </si>
  <si>
    <t>Fouke</t>
  </si>
  <si>
    <t>903-653-6218</t>
  </si>
  <si>
    <t>870-653-6228</t>
  </si>
  <si>
    <t>wcrabtree@superiorl.com</t>
  </si>
  <si>
    <t>90-0751938</t>
  </si>
  <si>
    <t>Sustainable Development Concepts</t>
  </si>
  <si>
    <t>FMB Inc.</t>
  </si>
  <si>
    <t>Frank</t>
  </si>
  <si>
    <t>butler</t>
  </si>
  <si>
    <t>3 Sugar Creek Center Boulevard</t>
  </si>
  <si>
    <t>#100</t>
  </si>
  <si>
    <t>Sugarland</t>
  </si>
  <si>
    <t>fb@sdconceptsna.com</t>
  </si>
  <si>
    <t>13-2642452</t>
  </si>
  <si>
    <t>Sylvania Lighting Services</t>
  </si>
  <si>
    <t>Zrelak</t>
  </si>
  <si>
    <t>Rebate Specialist</t>
  </si>
  <si>
    <t>2352 Oriole St.</t>
  </si>
  <si>
    <t>Oak Harbor</t>
  </si>
  <si>
    <t>253-269-6247</t>
  </si>
  <si>
    <t>206-260-1482</t>
  </si>
  <si>
    <t>matt.zrelak@sylvania.com</t>
  </si>
  <si>
    <t>04-3220258</t>
  </si>
  <si>
    <t>Synergy Investment</t>
  </si>
  <si>
    <t>Peznola</t>
  </si>
  <si>
    <t>VP Operations</t>
  </si>
  <si>
    <t>200 Friberg Parkway</t>
  </si>
  <si>
    <t>Suite 3010</t>
  </si>
  <si>
    <t>Westborough</t>
  </si>
  <si>
    <t>508-366-0200</t>
  </si>
  <si>
    <t>508-366-6111</t>
  </si>
  <si>
    <t>jpeznola@synergyinv.com</t>
  </si>
  <si>
    <t>46-3034063</t>
  </si>
  <si>
    <t>Tamesi Electrician</t>
  </si>
  <si>
    <t>Alejandro</t>
  </si>
  <si>
    <t>Aguilar</t>
  </si>
  <si>
    <t>32503 Teal st</t>
  </si>
  <si>
    <t>Brookshire</t>
  </si>
  <si>
    <t>281-725-8065</t>
  </si>
  <si>
    <t>tamesi_electrician@yahoo.com</t>
  </si>
  <si>
    <t>14-7089935</t>
  </si>
  <si>
    <t>Tapco Enpro</t>
  </si>
  <si>
    <t>Curtiss Wright Flow Control</t>
  </si>
  <si>
    <t>13-0612970</t>
  </si>
  <si>
    <t>Castro</t>
  </si>
  <si>
    <t>3131 McKinney Ave</t>
  </si>
  <si>
    <t>Suite 540</t>
  </si>
  <si>
    <t>214-466-8747</t>
  </si>
  <si>
    <t>jcastro@maximusalliance.com</t>
  </si>
  <si>
    <t>41-0215170</t>
  </si>
  <si>
    <t>Target</t>
  </si>
  <si>
    <t>Jessica</t>
  </si>
  <si>
    <t>Jokinen</t>
  </si>
  <si>
    <t>50 South 10th Street</t>
  </si>
  <si>
    <t>Suite 400; TP3-765</t>
  </si>
  <si>
    <t>Minneapolis</t>
  </si>
  <si>
    <t>612-761-5460</t>
  </si>
  <si>
    <t>612-761-2555</t>
  </si>
  <si>
    <t>jessica.jokinen@target.com</t>
  </si>
  <si>
    <t>26-0464612</t>
  </si>
  <si>
    <t>TDIndustries</t>
  </si>
  <si>
    <t>Dick</t>
  </si>
  <si>
    <t>Mehsling</t>
  </si>
  <si>
    <t>Corporate Account Manager</t>
  </si>
  <si>
    <t>8801 Jameel Suite 100</t>
  </si>
  <si>
    <t>713-996-2712</t>
  </si>
  <si>
    <t>713-939-0161</t>
  </si>
  <si>
    <t>dick.mehsling@tdindustries.com</t>
  </si>
  <si>
    <t>59-3678727</t>
  </si>
  <si>
    <t>TECO Partners, Inc.</t>
  </si>
  <si>
    <t>Wykoff</t>
  </si>
  <si>
    <t>PO Box 1044</t>
  </si>
  <si>
    <t>Tampa</t>
  </si>
  <si>
    <t>813-228-4454</t>
  </si>
  <si>
    <t>jwykoff@tecoenergy.com</t>
  </si>
  <si>
    <t>436-59-2884</t>
  </si>
  <si>
    <t>TELIOS</t>
  </si>
  <si>
    <t>Lewis</t>
  </si>
  <si>
    <t>12946 Dairy Ashford</t>
  </si>
  <si>
    <t>281-265-1636</t>
  </si>
  <si>
    <t>tlewis@teliospc.com</t>
  </si>
  <si>
    <t>26-1642107</t>
  </si>
  <si>
    <t>Texas AirSystems</t>
  </si>
  <si>
    <t>Pilkinton</t>
  </si>
  <si>
    <t>System Sales</t>
  </si>
  <si>
    <t>12650 Directors Drive</t>
  </si>
  <si>
    <t>Suite 600</t>
  </si>
  <si>
    <t>832-342-7000</t>
  </si>
  <si>
    <t>281-980-2881</t>
  </si>
  <si>
    <t>lpilkinton@texasairsystems.com</t>
  </si>
  <si>
    <t>Texal Energy LLC</t>
  </si>
  <si>
    <t>Will</t>
  </si>
  <si>
    <t>Monroe</t>
  </si>
  <si>
    <t>4447 N. Central Expy. Suite 110</t>
  </si>
  <si>
    <t>75205</t>
  </si>
  <si>
    <t>214-907-5789</t>
  </si>
  <si>
    <t>wmonroe@texalenergy.com</t>
  </si>
  <si>
    <t>26-0272429</t>
  </si>
  <si>
    <t>Texas Energy Products</t>
  </si>
  <si>
    <t>Dir., SW Region</t>
  </si>
  <si>
    <t>9701 Dessau Rd</t>
  </si>
  <si>
    <t>Suite 204</t>
  </si>
  <si>
    <t>512-339-3591</t>
  </si>
  <si>
    <t>kbass@lime-energy.com</t>
  </si>
  <si>
    <t>46-3165244</t>
  </si>
  <si>
    <t>Texas LED</t>
  </si>
  <si>
    <t>Pope</t>
  </si>
  <si>
    <t>VP Ops</t>
  </si>
  <si>
    <t>793 Davis Rd</t>
  </si>
  <si>
    <t>D22S2</t>
  </si>
  <si>
    <t>405-409-7384</t>
  </si>
  <si>
    <t>Sailorsrule08@gmail.com</t>
  </si>
  <si>
    <t>27-1286582</t>
  </si>
  <si>
    <t>Texas Solar Resources, Inc</t>
  </si>
  <si>
    <t>Sampson</t>
  </si>
  <si>
    <t>109A Laurel Drive</t>
  </si>
  <si>
    <t>281-221-1024</t>
  </si>
  <si>
    <t>jeremy@texassolarresources.com</t>
  </si>
  <si>
    <t>32-0454100</t>
  </si>
  <si>
    <t>The Brandt Companies, LLC</t>
  </si>
  <si>
    <t>Higgins</t>
  </si>
  <si>
    <t>1728 Briercroft Court</t>
  </si>
  <si>
    <t>972-395-6000</t>
  </si>
  <si>
    <t>thiggins@brandteng.com</t>
  </si>
  <si>
    <t>37-1652957</t>
  </si>
  <si>
    <t>Brandt Companies, LLC</t>
  </si>
  <si>
    <t>27-0793049</t>
  </si>
  <si>
    <t>The Energy Solution Group Worldwide</t>
  </si>
  <si>
    <t>Andrew</t>
  </si>
  <si>
    <t>Barnett</t>
  </si>
  <si>
    <t>937 Burrell Avenue</t>
  </si>
  <si>
    <t>Columbus</t>
  </si>
  <si>
    <t>614-654-5705</t>
  </si>
  <si>
    <t>andrew.barnett@theenergysolutiongroup.com</t>
  </si>
  <si>
    <t>27-1254422</t>
  </si>
  <si>
    <t>The Gaia Group, Inc</t>
  </si>
  <si>
    <t>Kareem</t>
  </si>
  <si>
    <t>1200 Smith St, STE 1600</t>
  </si>
  <si>
    <t>713-410-8252</t>
  </si>
  <si>
    <t>281-966-1747</t>
  </si>
  <si>
    <t>kdale@thegaiagroupinc.com</t>
  </si>
  <si>
    <t>36-1750680</t>
  </si>
  <si>
    <t>The Great Indoors</t>
  </si>
  <si>
    <t>Rochelle</t>
  </si>
  <si>
    <t>Gobetz</t>
  </si>
  <si>
    <t>Manager; Utility Rebates &amp; Utility Payments</t>
  </si>
  <si>
    <t>3333 Beverly Road</t>
  </si>
  <si>
    <t>A2-346-A</t>
  </si>
  <si>
    <t>Hoffman Estates</t>
  </si>
  <si>
    <t>847-286-6367</t>
  </si>
  <si>
    <t>847-286-3321</t>
  </si>
  <si>
    <t>rgobetz@searshc.com</t>
  </si>
  <si>
    <t>20-1438034</t>
  </si>
  <si>
    <t>The Home Masters</t>
  </si>
  <si>
    <t>6611 Glenhill Drive</t>
  </si>
  <si>
    <t>281-851-9953</t>
  </si>
  <si>
    <t>donmartin2000@sbcglobal.net</t>
  </si>
  <si>
    <t>31-1678530</t>
  </si>
  <si>
    <t>The Kroger Company</t>
  </si>
  <si>
    <t>Linda</t>
  </si>
  <si>
    <t>Viens</t>
  </si>
  <si>
    <t>Corporate Incentive Manager</t>
  </si>
  <si>
    <t>1014 Vine Street</t>
  </si>
  <si>
    <t>513-762-1578</t>
  </si>
  <si>
    <t>linda.viens@kroger.com</t>
  </si>
  <si>
    <t>74-1383687</t>
  </si>
  <si>
    <t>The Lee Thompson Co</t>
  </si>
  <si>
    <t>2313 Langston</t>
  </si>
  <si>
    <t>713-688-6900</t>
  </si>
  <si>
    <t>713-862-6771</t>
  </si>
  <si>
    <t>scott@leethompsonac.com</t>
  </si>
  <si>
    <t>03-0215459</t>
  </si>
  <si>
    <t>The Orvis Company, Inc.</t>
  </si>
  <si>
    <t>Pohlman</t>
  </si>
  <si>
    <t>Sr. Finance Manager</t>
  </si>
  <si>
    <t>1711 Blue Hills Drive</t>
  </si>
  <si>
    <t>Roanoke</t>
  </si>
  <si>
    <t>540-345-6789</t>
  </si>
  <si>
    <t>PohlmanM@Orvis.com</t>
  </si>
  <si>
    <t>20-8585647</t>
  </si>
  <si>
    <t>The Tagos Group, LLC</t>
  </si>
  <si>
    <t>Betin</t>
  </si>
  <si>
    <t>Santos</t>
  </si>
  <si>
    <t>VP, Sustainability and Energy Efficiency</t>
  </si>
  <si>
    <t>8 East Greenway Plaza, Ste. 910</t>
  </si>
  <si>
    <t>713-625-7513</t>
  </si>
  <si>
    <t>713-850-7071</t>
  </si>
  <si>
    <t>bsantos@tagosgroup.com</t>
  </si>
  <si>
    <t>54-2147215</t>
  </si>
  <si>
    <t>The Zentergy Corporation</t>
  </si>
  <si>
    <t>Howard</t>
  </si>
  <si>
    <t>Ehrenshat</t>
  </si>
  <si>
    <t>1 Hewitt Square #153</t>
  </si>
  <si>
    <t>East Northport</t>
  </si>
  <si>
    <t>631-261-6277</t>
  </si>
  <si>
    <t>hehrenshaft@zentergy.com</t>
  </si>
  <si>
    <t>51-2147215</t>
  </si>
  <si>
    <t>Ehrenshaft</t>
  </si>
  <si>
    <t>1 Hewitt SXquare #153</t>
  </si>
  <si>
    <t>631-824-9176</t>
  </si>
  <si>
    <t>17-4600116</t>
  </si>
  <si>
    <t>Theater District Parking</t>
  </si>
  <si>
    <t>Lannie</t>
  </si>
  <si>
    <t>Lesher</t>
  </si>
  <si>
    <t>Manager- Parking Operations</t>
  </si>
  <si>
    <t>510 Preston</t>
  </si>
  <si>
    <t>713-236-5760</t>
  </si>
  <si>
    <t>713 315 4862</t>
  </si>
  <si>
    <t>lannie.lesher@houstontx.gov</t>
  </si>
  <si>
    <t>20-4116492</t>
  </si>
  <si>
    <t>Thomas Engineering, Inc.</t>
  </si>
  <si>
    <t>754 Brock Dr.</t>
  </si>
  <si>
    <t>Corpus Christi</t>
  </si>
  <si>
    <t>361-992-1800</t>
  </si>
  <si>
    <t>361-992-1801</t>
  </si>
  <si>
    <t>bill@thomasengineering-inc.com</t>
  </si>
  <si>
    <t>51-0668085</t>
  </si>
  <si>
    <t>Thomas, McDonald &amp; Dunne Engineers, LLC</t>
  </si>
  <si>
    <t>Dunne</t>
  </si>
  <si>
    <t>738 S. Highway 6, Suite 260</t>
  </si>
  <si>
    <t>713-933-1001</t>
  </si>
  <si>
    <t>713.933.1004</t>
  </si>
  <si>
    <t>bdunne@td-engineers.com</t>
  </si>
  <si>
    <t>46-2520791</t>
  </si>
  <si>
    <t>Tomball Plaza, LLC.</t>
  </si>
  <si>
    <t>JBL Asset Management</t>
  </si>
  <si>
    <t>46-3379935</t>
  </si>
  <si>
    <t>Jacob</t>
  </si>
  <si>
    <t>Khotoveli</t>
  </si>
  <si>
    <t>Managing Partner / Property Manager</t>
  </si>
  <si>
    <t>766 Riverside Drive</t>
  </si>
  <si>
    <t>Coral Springs</t>
  </si>
  <si>
    <t>954-346-9494</t>
  </si>
  <si>
    <t>888-571-9922</t>
  </si>
  <si>
    <t>marc@plazamgmt.com</t>
  </si>
  <si>
    <t>22-3260693</t>
  </si>
  <si>
    <t xml:space="preserve">Toys </t>
  </si>
  <si>
    <t>Karloske</t>
  </si>
  <si>
    <t>c/o Energy Logic, Inc</t>
  </si>
  <si>
    <t>508 394-7001</t>
  </si>
  <si>
    <t xml:space="preserve">cbanks@energylogicinc.com </t>
  </si>
  <si>
    <t>20-3118078</t>
  </si>
  <si>
    <t>TPG 2500 CityWest, L.P.</t>
  </si>
  <si>
    <t xml:space="preserve">Ricky </t>
  </si>
  <si>
    <t>Bailey</t>
  </si>
  <si>
    <t>5847 San FelipePlaza</t>
  </si>
  <si>
    <t>713-255-2306</t>
  </si>
  <si>
    <t>713.255.2339</t>
  </si>
  <si>
    <t>rbailey@tpgre.com</t>
  </si>
  <si>
    <t>20-3117954</t>
  </si>
  <si>
    <t>TPG San Felipe Plaza, L.P.</t>
  </si>
  <si>
    <t>5847 San Felipe</t>
  </si>
  <si>
    <t>713-255-2308</t>
  </si>
  <si>
    <t>713-255-2339</t>
  </si>
  <si>
    <t>25-0900465</t>
  </si>
  <si>
    <t>Trane</t>
  </si>
  <si>
    <t>Cook</t>
  </si>
  <si>
    <t>1400 Valwood Parkway, Suite 100</t>
  </si>
  <si>
    <t>972-919-2340</t>
  </si>
  <si>
    <t>972-243-1398</t>
  </si>
  <si>
    <t>dcook2@trane.com</t>
  </si>
  <si>
    <t>42-1585496</t>
  </si>
  <si>
    <t>Trio Electric</t>
  </si>
  <si>
    <t>Beau</t>
  </si>
  <si>
    <t>Pollock</t>
  </si>
  <si>
    <t>11413 Todd Street</t>
  </si>
  <si>
    <t>713-457-4418</t>
  </si>
  <si>
    <t>beau@trioltd.com</t>
  </si>
  <si>
    <t>45-4800374</t>
  </si>
  <si>
    <t>Triton Energy Solutions, LLC</t>
  </si>
  <si>
    <t xml:space="preserve">Gerard </t>
  </si>
  <si>
    <t>Kolodejcak Jr.</t>
  </si>
  <si>
    <t>CEO / Managing Partner</t>
  </si>
  <si>
    <t>4203 Woodcock Drive</t>
  </si>
  <si>
    <t>210-865-2668</t>
  </si>
  <si>
    <t>gerard@tritonenergysolutions.com</t>
  </si>
  <si>
    <t>27-1460821</t>
  </si>
  <si>
    <t>TruVoltz, Inc.</t>
  </si>
  <si>
    <t>Cushway</t>
  </si>
  <si>
    <t>VP, Development</t>
  </si>
  <si>
    <t>8765 Spring Cypress</t>
  </si>
  <si>
    <t>Suite L-153</t>
  </si>
  <si>
    <t>281-220-4382</t>
  </si>
  <si>
    <t>281-886-0479</t>
  </si>
  <si>
    <t>jcushway@truvoltz.com</t>
  </si>
  <si>
    <t>76-0591234</t>
  </si>
  <si>
    <t>Turbine Air Systems, Ltd</t>
  </si>
  <si>
    <t>Davis</t>
  </si>
  <si>
    <t>6110 Cullen Blvd</t>
  </si>
  <si>
    <t>713-877-8700</t>
  </si>
  <si>
    <t>edavis@tas.com</t>
  </si>
  <si>
    <t>13-5444820</t>
  </si>
  <si>
    <t>TURTLE &amp; HUGHES, INC</t>
  </si>
  <si>
    <t>CORY</t>
  </si>
  <si>
    <t>SZATKIEWICZ</t>
  </si>
  <si>
    <t>NATIONAL ACCOUNTS MANAGER</t>
  </si>
  <si>
    <t>1260 NORTH AVE</t>
  </si>
  <si>
    <t>PLAINFIELD</t>
  </si>
  <si>
    <t>732-673-3170</t>
  </si>
  <si>
    <t>732-606-1598</t>
  </si>
  <si>
    <t>PCORY@TURTLE.COM</t>
  </si>
  <si>
    <t>26-0494257</t>
  </si>
  <si>
    <t>TXU Energy Retail Company LLC</t>
  </si>
  <si>
    <t>6555 Sierra Drive</t>
  </si>
  <si>
    <t>scott.harrison@txu.com</t>
  </si>
  <si>
    <t>75-1316610</t>
  </si>
  <si>
    <t>U-Haul Co. of Texas, Inc.</t>
  </si>
  <si>
    <t>U-Haul International</t>
  </si>
  <si>
    <t>Kimberly</t>
  </si>
  <si>
    <t>Dart</t>
  </si>
  <si>
    <t>Office Clerk</t>
  </si>
  <si>
    <t>2415 S. Dairy Ashford, #5</t>
  </si>
  <si>
    <t>281-531-4022</t>
  </si>
  <si>
    <t>281-531-1530</t>
  </si>
  <si>
    <t>kim_dart@uhaul.com</t>
  </si>
  <si>
    <t>45-5132957</t>
  </si>
  <si>
    <t>Unify Energy Solutions</t>
  </si>
  <si>
    <t>Hector</t>
  </si>
  <si>
    <t>Garcia</t>
  </si>
  <si>
    <t>Account Executive</t>
  </si>
  <si>
    <t>770 Bradfield Rd #585</t>
  </si>
  <si>
    <t>832-535-6383</t>
  </si>
  <si>
    <t>hectorg@unifytexas.com</t>
  </si>
  <si>
    <t>22-2222222</t>
  </si>
  <si>
    <t>Univar USA</t>
  </si>
  <si>
    <t>Sandoval</t>
  </si>
  <si>
    <t>777 Brisbane St</t>
  </si>
  <si>
    <t>310-800-5882</t>
  </si>
  <si>
    <t>nicholass@yalechase.com</t>
  </si>
  <si>
    <t>91-1347935</t>
  </si>
  <si>
    <t>74-6001399</t>
  </si>
  <si>
    <t>University of Houston System</t>
  </si>
  <si>
    <t>Sameer</t>
  </si>
  <si>
    <t>Senior Project Manager / System Engineer</t>
  </si>
  <si>
    <t>4211 Elgin, Room 125</t>
  </si>
  <si>
    <t>713-743-5797</t>
  </si>
  <si>
    <t>SAKapileshwari@central.uh.edu</t>
  </si>
  <si>
    <t>632-68-7913</t>
  </si>
  <si>
    <t>Unlimited Energy Solutions</t>
  </si>
  <si>
    <t>8600 Woodway 409</t>
  </si>
  <si>
    <t>713-936-3535</t>
  </si>
  <si>
    <t>36-2407381</t>
  </si>
  <si>
    <t>UPS</t>
  </si>
  <si>
    <t xml:space="preserve">Shannon </t>
  </si>
  <si>
    <t>20-4640796</t>
  </si>
  <si>
    <t>UR Energy Inc</t>
  </si>
  <si>
    <t>Philip</t>
  </si>
  <si>
    <t>DeAngelo</t>
  </si>
  <si>
    <t>91 Clinton Rd</t>
  </si>
  <si>
    <t>STE 2D</t>
  </si>
  <si>
    <t>Fairfield</t>
  </si>
  <si>
    <t>800-749-9291</t>
  </si>
  <si>
    <t>phildeangelo@urenergyinc.com</t>
  </si>
  <si>
    <t>94-3480588</t>
  </si>
  <si>
    <t>US ENERGY MANAGEMENT, INC.</t>
  </si>
  <si>
    <t xml:space="preserve">BRAD </t>
  </si>
  <si>
    <t>HITCHCOCCK</t>
  </si>
  <si>
    <t>PRESIDENT</t>
  </si>
  <si>
    <t>6829 AVE K STE 110</t>
  </si>
  <si>
    <t>PLANO</t>
  </si>
  <si>
    <t>972-670-1952</t>
  </si>
  <si>
    <t>brad@us-energymgmt.com</t>
  </si>
  <si>
    <t>90-0786032</t>
  </si>
  <si>
    <t>US Energy Services Inc.</t>
  </si>
  <si>
    <t>Brad</t>
  </si>
  <si>
    <t>Boyett</t>
  </si>
  <si>
    <t>3109 Stanwood Drive</t>
  </si>
  <si>
    <t>512-423-3094</t>
  </si>
  <si>
    <t>512-407-8858</t>
  </si>
  <si>
    <t>bboyett@earthlink.net</t>
  </si>
  <si>
    <t>61-1297476</t>
  </si>
  <si>
    <t>Utilities Dynamics, Inc.</t>
  </si>
  <si>
    <t>Ross</t>
  </si>
  <si>
    <t>Aycock</t>
  </si>
  <si>
    <t>6910 Lovelaceville Road</t>
  </si>
  <si>
    <t>Paducah</t>
  </si>
  <si>
    <t>270-554-8878</t>
  </si>
  <si>
    <t>928-396-8575</t>
  </si>
  <si>
    <t>ross@utilitiesdynamics.com</t>
  </si>
  <si>
    <t>27-0289441</t>
  </si>
  <si>
    <t>Valderrama Energy Services</t>
  </si>
  <si>
    <t>Elsa</t>
  </si>
  <si>
    <t>2323 Clear Lake City Blvd.</t>
  </si>
  <si>
    <t>855-550-8656</t>
  </si>
  <si>
    <t>855-550-8657</t>
  </si>
  <si>
    <t>enelson@v-energy-s.com</t>
  </si>
  <si>
    <t>27-3063237</t>
  </si>
  <si>
    <t>Value Lighting Energy Solutions, LLC</t>
  </si>
  <si>
    <t>Tish</t>
  </si>
  <si>
    <t>Monte</t>
  </si>
  <si>
    <t>Territory Manager</t>
  </si>
  <si>
    <t>2208 59th Street</t>
  </si>
  <si>
    <t>Galveston</t>
  </si>
  <si>
    <t>832-576-2901</t>
  </si>
  <si>
    <t>T.Monte@valueenergysolutions.com</t>
  </si>
  <si>
    <t>74-2110901</t>
  </si>
  <si>
    <t>Van Orden Engineering</t>
  </si>
  <si>
    <t>Vice President/Marketing</t>
  </si>
  <si>
    <t>5850 San Felipe</t>
  </si>
  <si>
    <t>Suite 140</t>
  </si>
  <si>
    <t>713-266-8984</t>
  </si>
  <si>
    <t>713-266-1238</t>
  </si>
  <si>
    <t>45-4281602</t>
  </si>
  <si>
    <t>Verde Lighting Systems, Inc</t>
  </si>
  <si>
    <t>Troy</t>
  </si>
  <si>
    <t>Ussery</t>
  </si>
  <si>
    <t>Sales Consultant</t>
  </si>
  <si>
    <t>16225 Tahoe</t>
  </si>
  <si>
    <t>281-506-8430</t>
  </si>
  <si>
    <t>tussery@verde-lighting.com</t>
  </si>
  <si>
    <t>43-1018765</t>
  </si>
  <si>
    <t>Villa Lighting Supply</t>
  </si>
  <si>
    <t xml:space="preserve">Dan </t>
  </si>
  <si>
    <t>Ludwig</t>
  </si>
  <si>
    <t>Manager of Strategic National Accounts</t>
  </si>
  <si>
    <t>2929 Chouteau Ave</t>
  </si>
  <si>
    <t>Saint Louis</t>
  </si>
  <si>
    <t>314-633-0418</t>
  </si>
  <si>
    <t>314-633-0419</t>
  </si>
  <si>
    <t>dludwig@villalighting.com</t>
  </si>
  <si>
    <t>36-1924025</t>
  </si>
  <si>
    <t>Walgreen Co.</t>
  </si>
  <si>
    <t>Erinn</t>
  </si>
  <si>
    <t>Martin Del Campo</t>
  </si>
  <si>
    <t>302 Wilmot Road</t>
  </si>
  <si>
    <t>MS 3301</t>
  </si>
  <si>
    <t>Deerfield</t>
  </si>
  <si>
    <t>847-527-4849</t>
  </si>
  <si>
    <t>erinn.martin.del.campo@walgreens.com</t>
  </si>
  <si>
    <t>80-0571944</t>
  </si>
  <si>
    <t>Walker Energy Solution</t>
  </si>
  <si>
    <t>Walker Advertising Group, LLC</t>
  </si>
  <si>
    <t>Ashley</t>
  </si>
  <si>
    <t>11811 North Freeway ste. 500</t>
  </si>
  <si>
    <t>281-436-7373</t>
  </si>
  <si>
    <t>ashley@walkerenergysolution.com</t>
  </si>
  <si>
    <t>74-3019686</t>
  </si>
  <si>
    <t>Walmart Stores Texas, LLC</t>
  </si>
  <si>
    <t>Wal-Mart Stores, Inc.</t>
  </si>
  <si>
    <t>Donna</t>
  </si>
  <si>
    <t>Jordan</t>
  </si>
  <si>
    <t>Regional Energy Manager</t>
  </si>
  <si>
    <t>2001 S.E. 10th Street</t>
  </si>
  <si>
    <t>Bentonville</t>
  </si>
  <si>
    <t>72716-0550</t>
  </si>
  <si>
    <t>479-273-8673</t>
  </si>
  <si>
    <t>479-273-6851</t>
  </si>
  <si>
    <t>donna.jordan@wal-mart.com</t>
  </si>
  <si>
    <t>74-3019386</t>
  </si>
  <si>
    <t>76-0170127</t>
  </si>
  <si>
    <t>Way Engineering Service, Ltd.</t>
  </si>
  <si>
    <t>Way Holding Company</t>
  </si>
  <si>
    <t>Earl</t>
  </si>
  <si>
    <t>Coaston</t>
  </si>
  <si>
    <t>5304 Ashbrook</t>
  </si>
  <si>
    <t>281-330-5448</t>
  </si>
  <si>
    <t>713-512-9950</t>
  </si>
  <si>
    <t>ecoaston@wayengserv.com</t>
  </si>
  <si>
    <t>74-1917168</t>
  </si>
  <si>
    <t>Way Service Ltd.</t>
  </si>
  <si>
    <t>Trey</t>
  </si>
  <si>
    <t>Calvery</t>
  </si>
  <si>
    <t>Commercial Market Manager</t>
  </si>
  <si>
    <t>5308 Ashbrook</t>
  </si>
  <si>
    <t>713-512-9900</t>
  </si>
  <si>
    <t>713-512-9893</t>
  </si>
  <si>
    <t>tcalvery@wayservice.com</t>
  </si>
  <si>
    <t>453-82-0294</t>
  </si>
  <si>
    <t>Wells Real Estate</t>
  </si>
  <si>
    <t>Patrick</t>
  </si>
  <si>
    <t>O''Connor</t>
  </si>
  <si>
    <t>1401 McKinney</t>
  </si>
  <si>
    <t>713-300-6340</t>
  </si>
  <si>
    <t>patrick.oconnor@ableserve.com</t>
  </si>
  <si>
    <t>640-14-5992</t>
  </si>
  <si>
    <t>Wells Real Estate Services LLP</t>
  </si>
  <si>
    <t>Lubie</t>
  </si>
  <si>
    <t>1401 McKinney, Suite 2525</t>
  </si>
  <si>
    <t>713-300-6348</t>
  </si>
  <si>
    <t>lubie.martin@Wellsref.com</t>
  </si>
  <si>
    <t>76-0663729</t>
  </si>
  <si>
    <t>West Houston Indoor Soccer, Inc</t>
  </si>
  <si>
    <t>Schmitz</t>
  </si>
  <si>
    <t>17115 Clay Rd</t>
  </si>
  <si>
    <t>281-858-8080</t>
  </si>
  <si>
    <t>281-463-0789</t>
  </si>
  <si>
    <t>bob@westhoustonindoor.com</t>
  </si>
  <si>
    <t>30-0765668</t>
  </si>
  <si>
    <t>White Lodging Services</t>
  </si>
  <si>
    <t>Woodall</t>
  </si>
  <si>
    <t>Director of Engineering</t>
  </si>
  <si>
    <t>914 Dallas St</t>
  </si>
  <si>
    <t>317-281-2602</t>
  </si>
  <si>
    <t>michael.woodall@whitelodging.com</t>
  </si>
  <si>
    <t>17-4273716</t>
  </si>
  <si>
    <t>Whole Foods Market</t>
  </si>
  <si>
    <t>Sarah</t>
  </si>
  <si>
    <t>Olson</t>
  </si>
  <si>
    <t>Facilities and Energy Coordinator, SW Region</t>
  </si>
  <si>
    <t>1105 N. Lamar</t>
  </si>
  <si>
    <t>Suite 200</t>
  </si>
  <si>
    <t>512-391-8417</t>
  </si>
  <si>
    <t>sarah.olson@wholefoods.com</t>
  </si>
  <si>
    <t>56-2417519</t>
  </si>
  <si>
    <t>Willdan Energy Solutions</t>
  </si>
  <si>
    <t>Brummett</t>
  </si>
  <si>
    <t>Senior Program Manager</t>
  </si>
  <si>
    <t xml:space="preserve">1120 King George Ln </t>
  </si>
  <si>
    <t>Savannah</t>
  </si>
  <si>
    <t>214-274-8092</t>
  </si>
  <si>
    <t>jay.brummett@gmail.com</t>
  </si>
  <si>
    <t>76-0755567</t>
  </si>
  <si>
    <t>Williams-Sonoma</t>
  </si>
  <si>
    <t>Williams-Sonoma, Inc.</t>
  </si>
  <si>
    <t>94-2203880</t>
  </si>
  <si>
    <t xml:space="preserve">Sue </t>
  </si>
  <si>
    <t>Paquette</t>
  </si>
  <si>
    <t>Sr. Purchasing Manager</t>
  </si>
  <si>
    <t>3250 Van Ness Ave</t>
  </si>
  <si>
    <t>San Francisco</t>
  </si>
  <si>
    <t>415-616-8613</t>
  </si>
  <si>
    <t>415-217-6724</t>
  </si>
  <si>
    <t>SPaquette@WSGC.com</t>
  </si>
  <si>
    <t>45-2734336</t>
  </si>
  <si>
    <t>Windcrest Pcf, Ltd</t>
  </si>
  <si>
    <t>Trilca</t>
  </si>
  <si>
    <t>1521 Shewood Forest</t>
  </si>
  <si>
    <t>713-534-1525</t>
  </si>
  <si>
    <t>Kellyt@uaginc.com</t>
  </si>
  <si>
    <t>99-0245700</t>
  </si>
  <si>
    <t>World Energy Resources Corp.</t>
  </si>
  <si>
    <t>Rudy</t>
  </si>
  <si>
    <t>Conrad</t>
  </si>
  <si>
    <t>4725 Blazer Circle</t>
  </si>
  <si>
    <t>Washoe Valley</t>
  </si>
  <si>
    <t>NV</t>
  </si>
  <si>
    <t>713-259-6435</t>
  </si>
  <si>
    <t>rudyconrad1@yahoo.com</t>
  </si>
  <si>
    <t>76-0312882</t>
  </si>
  <si>
    <t>Wylie Consulting Engineers</t>
  </si>
  <si>
    <t>Jonathan</t>
  </si>
  <si>
    <t>Curtin</t>
  </si>
  <si>
    <t>6161 Savoy Suite 700</t>
  </si>
  <si>
    <t>713-781-2526</t>
  </si>
  <si>
    <t>713-781-2536</t>
  </si>
  <si>
    <t>jcurtin@wylieassociates.com</t>
  </si>
  <si>
    <t>76-0358892</t>
  </si>
  <si>
    <t>X-TRA Light</t>
  </si>
  <si>
    <t xml:space="preserve">VP </t>
  </si>
  <si>
    <t>8812 Frey Road</t>
  </si>
  <si>
    <t>713-943-9927</t>
  </si>
  <si>
    <t>stephen.nelson@xtralight.com</t>
  </si>
  <si>
    <t>650-00-0000</t>
  </si>
  <si>
    <t>XYZ</t>
  </si>
  <si>
    <t>Jessy</t>
  </si>
  <si>
    <t>Shao</t>
  </si>
  <si>
    <t>analyst</t>
  </si>
  <si>
    <t>1234 houston street</t>
  </si>
  <si>
    <t>123-456-1234</t>
  </si>
  <si>
    <t>123@123.com</t>
  </si>
  <si>
    <t>550-00-0000</t>
  </si>
  <si>
    <t>xyz</t>
  </si>
  <si>
    <t>TRITON SUPPLY INC</t>
  </si>
  <si>
    <t>Traci</t>
  </si>
  <si>
    <t>6012 Campus Circle Drive West</t>
  </si>
  <si>
    <t>75063</t>
  </si>
  <si>
    <t>214-382-4662</t>
  </si>
  <si>
    <t>traci.cockrell@tritonsupply.net</t>
  </si>
  <si>
    <t>Global Atlas Inc</t>
  </si>
  <si>
    <t>Stephens</t>
  </si>
  <si>
    <t>11440 Clay Road</t>
  </si>
  <si>
    <t>77041</t>
  </si>
  <si>
    <t>281-809-6046</t>
  </si>
  <si>
    <t>gm@hiwestwaypark.com</t>
  </si>
  <si>
    <t>shan Smith &amp; Associates, Inc.</t>
  </si>
  <si>
    <t>2825 Wilcrest Dr,  Suite 350</t>
  </si>
  <si>
    <t>Archway Logistics Corp.</t>
  </si>
  <si>
    <t>Day</t>
  </si>
  <si>
    <t>1818 Bingle Road, Suite 100</t>
  </si>
  <si>
    <t>77055</t>
  </si>
  <si>
    <t>713-722-8800</t>
  </si>
  <si>
    <t>robert@archwaylogistics.com</t>
  </si>
  <si>
    <t>MHSC Energy Management LLC</t>
  </si>
  <si>
    <t>Hickson</t>
  </si>
  <si>
    <t>PO Box 10048</t>
  </si>
  <si>
    <t>College Station</t>
  </si>
  <si>
    <t>77842</t>
  </si>
  <si>
    <t>979-587-2101</t>
  </si>
  <si>
    <t>dhickson@mhscenergy.com</t>
  </si>
  <si>
    <t>LED Cents</t>
  </si>
  <si>
    <t>Jarred</t>
  </si>
  <si>
    <t>Phillips</t>
  </si>
  <si>
    <t>1860 Sandy Plains Rd 204-220</t>
  </si>
  <si>
    <t>Marietta</t>
  </si>
  <si>
    <t>30066</t>
  </si>
  <si>
    <t>678-831-0303</t>
  </si>
  <si>
    <t xml:space="preserve">	jphillips@ledcents.com</t>
  </si>
  <si>
    <t>USAmerican Electric</t>
  </si>
  <si>
    <t>Castillo</t>
  </si>
  <si>
    <t>501 Parkwood Dr</t>
  </si>
  <si>
    <t>77503</t>
  </si>
  <si>
    <t>713-259-6084</t>
  </si>
  <si>
    <t>daniel.castillo@usamericanelectric.com</t>
  </si>
  <si>
    <t>American Wholesale Lighting</t>
  </si>
  <si>
    <t>Jensen</t>
  </si>
  <si>
    <t>40577 Albrae Street #F</t>
  </si>
  <si>
    <t>Fremont</t>
  </si>
  <si>
    <t>94538</t>
  </si>
  <si>
    <t>510-252-1088</t>
  </si>
  <si>
    <t>mjensen@awlighting.com</t>
  </si>
  <si>
    <t>Project Number</t>
  </si>
  <si>
    <t>Project Name</t>
  </si>
  <si>
    <t>Spnsor</t>
  </si>
  <si>
    <t>Construction Type</t>
  </si>
  <si>
    <t>Measure Type</t>
  </si>
  <si>
    <t>Estimated Installation Date</t>
  </si>
  <si>
    <t>Submitted Deposit</t>
  </si>
  <si>
    <t>Project Approved Incentive</t>
  </si>
  <si>
    <t>Project Lead</t>
  </si>
  <si>
    <t>Application Date</t>
  </si>
  <si>
    <t xml:space="preserve">Pre-Inspection </t>
  </si>
  <si>
    <t>PA Approval</t>
  </si>
  <si>
    <t>(Revised) Installation Date</t>
  </si>
  <si>
    <t>Total Project Cost</t>
  </si>
  <si>
    <t>IR received date</t>
  </si>
  <si>
    <t>Post-inspection date</t>
  </si>
  <si>
    <t>IR approval date</t>
  </si>
  <si>
    <t>Disposal Record date</t>
  </si>
  <si>
    <t>Approved IRSR Incentive</t>
  </si>
  <si>
    <t>Cap Reason</t>
  </si>
  <si>
    <t>Cap Amount</t>
  </si>
  <si>
    <t>Project Stauts</t>
  </si>
  <si>
    <t>Contact Full Name</t>
  </si>
  <si>
    <t>kW</t>
  </si>
  <si>
    <t>kWh</t>
  </si>
  <si>
    <t>Project Estimated Incentive</t>
  </si>
  <si>
    <t>C-CSOP-1</t>
  </si>
  <si>
    <t>Beacon Investment</t>
  </si>
  <si>
    <t>630-HTS Texas</t>
  </si>
  <si>
    <t>Retrofit</t>
  </si>
  <si>
    <t>Cooling</t>
  </si>
  <si>
    <t>Ding</t>
  </si>
  <si>
    <t>Voided</t>
  </si>
  <si>
    <t>Mike Donovan</t>
  </si>
  <si>
    <t xml:space="preserve">1008901000160270013100 </t>
  </si>
  <si>
    <t>900 Threadneedle</t>
  </si>
  <si>
    <t>Cooling-Chiller</t>
  </si>
  <si>
    <t>Beacon Investment Properties Chiller Replacements</t>
  </si>
  <si>
    <t>Deemed</t>
  </si>
  <si>
    <t>Office - Large</t>
  </si>
  <si>
    <t>Tony</t>
  </si>
  <si>
    <t>Clasen</t>
  </si>
  <si>
    <t>tony.clasen@hts.com</t>
  </si>
  <si>
    <t>Office</t>
  </si>
  <si>
    <t>1155 Dairy Ashford</t>
  </si>
  <si>
    <t>3900 Essex Ln</t>
  </si>
  <si>
    <t>14701 St Marys Lane</t>
  </si>
  <si>
    <t>C-CSOP-1-1</t>
  </si>
  <si>
    <t>Alcon Research</t>
  </si>
  <si>
    <t>245-Trio Electric</t>
  </si>
  <si>
    <t>Lighting</t>
  </si>
  <si>
    <t>N/A (Non-capped)</t>
  </si>
  <si>
    <t>IRSR Approved</t>
  </si>
  <si>
    <t>Beau Pollock</t>
  </si>
  <si>
    <t>1008901023813294550102</t>
  </si>
  <si>
    <t>9965 Buffalo Speedway</t>
  </si>
  <si>
    <t>Lighting-LED</t>
  </si>
  <si>
    <t>Outdoor - Outdoor Uncovered Parking Area: Zone 3</t>
  </si>
  <si>
    <t>Nadolny</t>
  </si>
  <si>
    <t>mike.nadolny@alcon.com</t>
  </si>
  <si>
    <t>Other</t>
  </si>
  <si>
    <t>C-CSOP-2</t>
  </si>
  <si>
    <t>NOV-Bammel new construction</t>
  </si>
  <si>
    <t>241-Maneri Agraz, LLC.</t>
  </si>
  <si>
    <t>New Construction</t>
  </si>
  <si>
    <t>John Maneri</t>
  </si>
  <si>
    <t>5130 N. Sam Houston Pkwy West</t>
  </si>
  <si>
    <t>Lighting-Fluorescent, HID, CFL</t>
  </si>
  <si>
    <t>National Oilwell Varco</t>
  </si>
  <si>
    <t>Simplified</t>
  </si>
  <si>
    <t>Warehouse (Non-refrigerated)  - Warehouse</t>
  </si>
  <si>
    <t>Carillo</t>
  </si>
  <si>
    <t>Warehouse</t>
  </si>
  <si>
    <t>C-CSOP-3</t>
  </si>
  <si>
    <t>TXI Operations</t>
  </si>
  <si>
    <t>631-Fine Line Electric</t>
  </si>
  <si>
    <t>Natalee Bruno</t>
  </si>
  <si>
    <t xml:space="preserve">5211 3RD ST </t>
  </si>
  <si>
    <t>Bonsal/TXI</t>
  </si>
  <si>
    <t xml:space="preserve">Manufacturing - Manufacturing Facility </t>
  </si>
  <si>
    <t>Jack</t>
  </si>
  <si>
    <t xml:space="preserve"> Cover</t>
  </si>
  <si>
    <t>jack.cover@oldcastleapg.com</t>
  </si>
  <si>
    <t>Industrial</t>
  </si>
  <si>
    <t>C-CSOP-4</t>
  </si>
  <si>
    <t>BBB</t>
  </si>
  <si>
    <t>233-RealWinWin, Inc.</t>
  </si>
  <si>
    <t>Lighting and Cooling</t>
  </si>
  <si>
    <t>PA Submitted</t>
  </si>
  <si>
    <t xml:space="preserve">Timothy  Mayo </t>
  </si>
  <si>
    <t>1008901001900758170113</t>
  </si>
  <si>
    <t xml:space="preserve">17355 TOMBALL PKWY #1K </t>
  </si>
  <si>
    <t>Bed Bath &amp; Beyond DBA Buy Buy Baby</t>
  </si>
  <si>
    <t xml:space="preserve">Retail (Strip shopping and non-enclosed mall) - Retail </t>
  </si>
  <si>
    <t>Leigh</t>
  </si>
  <si>
    <t>Cignavitch</t>
  </si>
  <si>
    <t>lcignavitch@realwinwin.com</t>
  </si>
  <si>
    <t>Retail</t>
  </si>
  <si>
    <t>1008901001900758160113</t>
  </si>
  <si>
    <t xml:space="preserve">17355 TOMBALL PKWY #1J </t>
  </si>
  <si>
    <t>Bed Bath &amp; Beyond</t>
  </si>
  <si>
    <t xml:space="preserve">Retail (Excluding Malls and Strip Centers) - Retail </t>
  </si>
  <si>
    <t>1008901011900758140113</t>
  </si>
  <si>
    <t xml:space="preserve">17355 TOMBALL PKWY #1H </t>
  </si>
  <si>
    <t>Bed Bath &amp; Beyond DBA Cost Plus World Matket</t>
  </si>
  <si>
    <t>Cooling-DX units</t>
  </si>
  <si>
    <t>Cost Plus World Market #6370</t>
  </si>
  <si>
    <t>Strip Mall</t>
  </si>
  <si>
    <t>C-CSOP-5</t>
  </si>
  <si>
    <t>City Plaza at Town Square</t>
  </si>
  <si>
    <t>615-LED Lighting of Houston</t>
  </si>
  <si>
    <t>Wait List</t>
  </si>
  <si>
    <t>Joshua  Pitts</t>
  </si>
  <si>
    <t>1008901023814637970104</t>
  </si>
  <si>
    <t>2299 Lone Star Drive</t>
  </si>
  <si>
    <t xml:space="preserve">Parking Structure - Parking Garage </t>
  </si>
  <si>
    <t>Joshua</t>
  </si>
  <si>
    <t>Parking Garage</t>
  </si>
  <si>
    <t>C-CSOP-6</t>
  </si>
  <si>
    <t>JSC Building 46</t>
  </si>
  <si>
    <t>Kai</t>
  </si>
  <si>
    <t>1008901000183000017100</t>
  </si>
  <si>
    <t xml:space="preserve">2101 NASA PKWY </t>
  </si>
  <si>
    <t>Johnson Space Center</t>
  </si>
  <si>
    <t xml:space="preserve">Office - Office </t>
  </si>
  <si>
    <t>Ron</t>
  </si>
  <si>
    <t>dummy@dummy.com</t>
  </si>
  <si>
    <t>C-CSOP-6-1</t>
  </si>
  <si>
    <t>C-CSOP-6-2</t>
  </si>
  <si>
    <t>Wells Core REIT</t>
  </si>
  <si>
    <t>572-B3 Energy Consulting</t>
  </si>
  <si>
    <t>PA Approved</t>
  </si>
  <si>
    <t>Keith Bass</t>
  </si>
  <si>
    <t>1008901001900267540108</t>
  </si>
  <si>
    <t xml:space="preserve">4424 W SAM HOUSTON PKWY N </t>
  </si>
  <si>
    <t xml:space="preserve">Glenn </t>
  </si>
  <si>
    <t xml:space="preserve">Kirk </t>
  </si>
  <si>
    <t>C-CSOP-7</t>
  </si>
  <si>
    <t>C-CSOP-8</t>
  </si>
  <si>
    <t>C-CSOP-8-1</t>
  </si>
  <si>
    <t>C-CSOP-7-1</t>
  </si>
  <si>
    <t>7515 Main</t>
  </si>
  <si>
    <t>219-Thomas, McDonald &amp; Dunne Engineers, LLC</t>
  </si>
  <si>
    <t>Brian Dunne</t>
  </si>
  <si>
    <t>1008901000145290011100</t>
  </si>
  <si>
    <t>7515 Main Street</t>
  </si>
  <si>
    <t>Healthcare Realty Trust</t>
  </si>
  <si>
    <t>Luis</t>
  </si>
  <si>
    <t>Lopez</t>
  </si>
  <si>
    <t>llopez@healthcarerealty.com</t>
  </si>
  <si>
    <t>C-CSOP-2-1</t>
  </si>
  <si>
    <t>Avenue Stores, LLC Retrofit</t>
  </si>
  <si>
    <t>632-Specialty Lighting Group</t>
  </si>
  <si>
    <t>Laura Lehane</t>
  </si>
  <si>
    <t>1008901012630499820100</t>
  </si>
  <si>
    <t>1231 W Bay Area Blvd</t>
  </si>
  <si>
    <t>AVENUE STORES, LLC</t>
  </si>
  <si>
    <t>Beckmann</t>
  </si>
  <si>
    <t>wbeckmann@avenue.com</t>
  </si>
  <si>
    <t>1008901022900254110108</t>
  </si>
  <si>
    <t>15908 Lexington Blvd</t>
  </si>
  <si>
    <t>Fort Bend</t>
  </si>
  <si>
    <t>1008901023803430050100</t>
  </si>
  <si>
    <t>7740 FM 1960 W</t>
  </si>
  <si>
    <t>1008901023811242550100</t>
  </si>
  <si>
    <t>6535 Highway 6</t>
  </si>
  <si>
    <t>1008901023810348190100</t>
  </si>
  <si>
    <t>20220 Katy Fwy E1</t>
  </si>
  <si>
    <t>1008901023811689070100</t>
  </si>
  <si>
    <t>5586 Fairmount PKWY</t>
  </si>
  <si>
    <t>1008901001184340461100</t>
  </si>
  <si>
    <t>237 W Greens Rd</t>
  </si>
  <si>
    <t>1008901023804114200100</t>
  </si>
  <si>
    <t>6427 W 43 Rd</t>
  </si>
  <si>
    <t>C-CSOP-9</t>
  </si>
  <si>
    <t>Thorntree Marble and Slate</t>
  </si>
  <si>
    <t>228-E-Tex Energy Systems LLC</t>
  </si>
  <si>
    <t>Tricia Dunlap</t>
  </si>
  <si>
    <t>1008901008185358655100</t>
  </si>
  <si>
    <t xml:space="preserve">10105 West Gulf Bank </t>
  </si>
  <si>
    <t xml:space="preserve">Stuart  </t>
  </si>
  <si>
    <t>Rae</t>
  </si>
  <si>
    <t>stuart@thorntreeslate.com</t>
  </si>
  <si>
    <t>C-CSOP-10</t>
  </si>
  <si>
    <t>Sterling McCall Toyota</t>
  </si>
  <si>
    <t>1008901023813777120103</t>
  </si>
  <si>
    <t xml:space="preserve">9400 SOUTHWEST FWY </t>
  </si>
  <si>
    <t>STERLING MCCALL TOYOTA</t>
  </si>
  <si>
    <t>Gregg</t>
  </si>
  <si>
    <t>Wintner</t>
  </si>
  <si>
    <t>gwintner@group1auto.com</t>
  </si>
  <si>
    <t>C-CSOP-11</t>
  </si>
  <si>
    <t>Sterling McCall Lexus</t>
  </si>
  <si>
    <t>Rejected</t>
  </si>
  <si>
    <t xml:space="preserve">1008901023810560930100 </t>
  </si>
  <si>
    <t xml:space="preserve">10025 SOUTHWEST FWY </t>
  </si>
  <si>
    <t>STERLING MCCALL LEXUS_EXTERIOR</t>
  </si>
  <si>
    <t>Joey</t>
  </si>
  <si>
    <t>Dupuis</t>
  </si>
  <si>
    <t>jdupuis@lexusclearlake.com</t>
  </si>
  <si>
    <t>C-CSOP-12</t>
  </si>
  <si>
    <t>David Taylor Cadillac and GMC</t>
  </si>
  <si>
    <t xml:space="preserve">1008901023805488110100 </t>
  </si>
  <si>
    <t>10422 SOUTHWEST FWY</t>
  </si>
  <si>
    <t>DAVID TAYLOR CADILLAC AND GMC</t>
  </si>
  <si>
    <t xml:space="preserve">Service (Excluding Food) - Automotive Facility </t>
  </si>
  <si>
    <t xml:space="preserve">gwintner@group1auto.com </t>
  </si>
  <si>
    <t>C-CSOP-13</t>
  </si>
  <si>
    <t>Sterling McCall Ford</t>
  </si>
  <si>
    <t>1008901016190848199100</t>
  </si>
  <si>
    <t>6445 Southwest Freeway</t>
  </si>
  <si>
    <t>STERLING MCCALL FORD</t>
  </si>
  <si>
    <t xml:space="preserve">GREGG </t>
  </si>
  <si>
    <t xml:space="preserve"> WINTNER,</t>
  </si>
  <si>
    <t>C-CSOP-14</t>
  </si>
  <si>
    <t>Fort Bend Toyota</t>
  </si>
  <si>
    <t>1008901023816774110105</t>
  </si>
  <si>
    <t>20465 SOUTHWEST FWY</t>
  </si>
  <si>
    <t>Richmond</t>
  </si>
  <si>
    <t xml:space="preserve">FT BEND TOYOTA </t>
  </si>
  <si>
    <t xml:space="preserve">Gregg  </t>
  </si>
  <si>
    <t>C-CSOP-15</t>
  </si>
  <si>
    <t>Panalpina Outdoor</t>
  </si>
  <si>
    <t>507-ENVIROLITE LLC</t>
  </si>
  <si>
    <t>Ed Oberstein</t>
  </si>
  <si>
    <t>1008901023814865280104</t>
  </si>
  <si>
    <t xml:space="preserve">19409 KENSWICK DR </t>
  </si>
  <si>
    <t>HUMBLE</t>
  </si>
  <si>
    <t>PANALPINA INC.</t>
  </si>
  <si>
    <t>Outdoor - Outdoor Uncovered Parking Area: Zone 1</t>
  </si>
  <si>
    <t xml:space="preserve">ED </t>
  </si>
  <si>
    <t>OBERSTEIN</t>
  </si>
  <si>
    <t>eoberstein@gmail.com</t>
  </si>
  <si>
    <t>C-CSOP-15-1</t>
  </si>
  <si>
    <t>5858 Westheimer Chiller Replacement</t>
  </si>
  <si>
    <t>217-E/B/E, Inc.</t>
  </si>
  <si>
    <t>Craig Koehn</t>
  </si>
  <si>
    <t>1008901000152140018100</t>
  </si>
  <si>
    <t xml:space="preserve">5858 Westheimer </t>
  </si>
  <si>
    <t>TCP Spectrum Partners, Ltd</t>
  </si>
  <si>
    <t>Ana</t>
  </si>
  <si>
    <t>Ramirez</t>
  </si>
  <si>
    <t>aramirez@tcprealty.com</t>
  </si>
  <si>
    <t>C-CSOP-15-2</t>
  </si>
  <si>
    <t>Billiard Factory</t>
  </si>
  <si>
    <t>504-Energy Efficiency &amp; Sustainability</t>
  </si>
  <si>
    <t>Adam Horton</t>
  </si>
  <si>
    <t>1008901023813490190103</t>
  </si>
  <si>
    <t>8440 N. Sam Houston Pkwy W.</t>
  </si>
  <si>
    <t>1008901023812714800102</t>
  </si>
  <si>
    <t xml:space="preserve">14190 Gulf Freeway </t>
  </si>
  <si>
    <t>1008901023805950310100</t>
  </si>
  <si>
    <t>12740 S. Kirkwood</t>
  </si>
  <si>
    <t>1008901023809868700100</t>
  </si>
  <si>
    <t>26419 I-45 North</t>
  </si>
  <si>
    <t>C-CSOP-15-3</t>
  </si>
  <si>
    <t>Capridge Partners Wood Branch</t>
  </si>
  <si>
    <t>559-Bambu Energy</t>
  </si>
  <si>
    <t>Douglas Barkley</t>
  </si>
  <si>
    <t>1008901000147160014100</t>
  </si>
  <si>
    <t>12012 Wickchester Lane</t>
  </si>
  <si>
    <t>CapRidge Partners - Wood Branch</t>
  </si>
  <si>
    <t>Tamara</t>
  </si>
  <si>
    <t xml:space="preserve"> McDonald</t>
  </si>
  <si>
    <t>tmcdonald@capridgepartners.com</t>
  </si>
  <si>
    <t>Lighting-Relamping</t>
  </si>
  <si>
    <t>C-CSOP-16</t>
  </si>
  <si>
    <t>Greenspoint Marriott</t>
  </si>
  <si>
    <t>427-3M</t>
  </si>
  <si>
    <t>Rick  Knight</t>
  </si>
  <si>
    <t>1008901000159740018100</t>
  </si>
  <si>
    <t xml:space="preserve">255 E NORTH BELT </t>
  </si>
  <si>
    <t>Window Film</t>
  </si>
  <si>
    <t>Marriott Greenspoint</t>
  </si>
  <si>
    <t xml:space="preserve">Panzek </t>
  </si>
  <si>
    <t xml:space="preserve">rknight@mmm.com </t>
  </si>
  <si>
    <t>Lodging</t>
  </si>
  <si>
    <t>C-CSOP-17</t>
  </si>
  <si>
    <t xml:space="preserve">Walmart Test </t>
  </si>
  <si>
    <t>265-Walmart Stores Texas, LLC</t>
  </si>
  <si>
    <t>Initial PA</t>
  </si>
  <si>
    <t>Donna Jordan</t>
  </si>
  <si>
    <t>1008901020900729340113</t>
  </si>
  <si>
    <t xml:space="preserve">8700 N HIGHWAY 146 </t>
  </si>
  <si>
    <t>BAYTOWN</t>
  </si>
  <si>
    <t>Chambers</t>
  </si>
  <si>
    <t>Walmart Stores Texas LLC</t>
  </si>
  <si>
    <t xml:space="preserve">Donna </t>
  </si>
  <si>
    <t xml:space="preserve">donna.jordan@wal-mart.com </t>
  </si>
  <si>
    <t>C-CSOP-18</t>
  </si>
  <si>
    <t>C-CSOP-18-1</t>
  </si>
  <si>
    <t>C-CSOP-19</t>
  </si>
  <si>
    <t>Walmart Test 1</t>
  </si>
  <si>
    <t>C-CSOP-8-2</t>
  </si>
  <si>
    <t>Dixie Chemical</t>
  </si>
  <si>
    <t>C-CSOP-21</t>
  </si>
  <si>
    <t>Office (Large)</t>
  </si>
  <si>
    <t>C-CSOP-400</t>
  </si>
  <si>
    <t>2015 test</t>
  </si>
  <si>
    <t>100888</t>
  </si>
  <si>
    <t>100 main</t>
  </si>
  <si>
    <t>1001 Buinz</t>
  </si>
  <si>
    <t>C-CSOP-23</t>
  </si>
  <si>
    <t>Test 2015</t>
  </si>
  <si>
    <t>444-500 McKinney Avenue</t>
  </si>
  <si>
    <t>Humberto Bautista</t>
  </si>
  <si>
    <t>1234567890101000</t>
  </si>
  <si>
    <t>100 Main</t>
  </si>
  <si>
    <t>C-CSOP-24</t>
  </si>
  <si>
    <t>C-CSOP-25</t>
  </si>
  <si>
    <t>C-CSOP-26</t>
  </si>
  <si>
    <t>Tes11111111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</si>
</sst>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$&quot;#,##0.00_);\(&quot;$&quot;#,##0.00\)"/>
    <numFmt numFmtId="43" formatCode="_(* #,##0.00_);_(* \(#,##0.00\);_(* &quot;-&quot;??_);_(@_)"/>
    <numFmt numFmtId="164" formatCode="\2\1\3\-\5\5\5\-\7\7\7\7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7"/>
      <name val="Small Fonts"/>
      <family val="2"/>
    </font>
    <font>
      <sz val="11"/>
      <color rgb="FF363636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43" fontId="4" fillId="0" borderId="0" applyNumberFormat="0" applyFont="0" applyFill="0" applyBorder="0" applyAlignment="0" applyProtection="0"/>
    <xf numFmtId="37" fontId="5" fillId="0" borderId="0"/>
    <xf numFmtId="0" fontId="4" fillId="0" borderId="0" applyNumberFormat="0" applyFont="0" applyFill="0" applyBorder="0" applyAlignment="0" applyProtection="0"/>
    <xf numFmtId="0" fontId="4" fillId="0" borderId="0"/>
    <xf numFmtId="0" fontId="1" fillId="0" borderId="0"/>
    <xf numFmtId="9" fontId="4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1" applyFont="1"/>
    <xf numFmtId="0" fontId="2" fillId="0" borderId="0" xfId="0" applyFont="1"/>
    <xf numFmtId="0" fontId="1" fillId="0" borderId="0" xfId="1"/>
    <xf numFmtId="0" fontId="0" fillId="0" borderId="0" xfId="0" quotePrefix="1"/>
    <xf numFmtId="0" fontId="0" fillId="0" borderId="0" xfId="1" applyFont="1"/>
    <xf numFmtId="0" fontId="3" fillId="0" borderId="0" xfId="2"/>
    <xf numFmtId="0" fontId="1" fillId="0" borderId="0" xfId="1" applyFill="1"/>
    <xf numFmtId="164" fontId="0" fillId="0" borderId="0" xfId="0" applyNumberFormat="1"/>
    <xf numFmtId="0" fontId="3" fillId="0" borderId="0" xfId="2" applyAlignment="1">
      <alignment vertical="center"/>
    </xf>
    <xf numFmtId="0" fontId="0" fillId="0" borderId="0" xfId="0" applyBorder="1"/>
    <xf numFmtId="0" fontId="4" fillId="0" borderId="0" xfId="0" quotePrefix="1" applyFont="1" applyBorder="1"/>
    <xf numFmtId="0" fontId="0" fillId="0" borderId="0" xfId="0" applyFill="1" applyBorder="1"/>
    <xf numFmtId="0" fontId="0" fillId="0" borderId="0" xfId="0" quotePrefix="1" applyFill="1" applyBorder="1"/>
    <xf numFmtId="14" fontId="0" fillId="0" borderId="0" xfId="0" applyNumberFormat="1"/>
    <xf numFmtId="7" fontId="0" fillId="0" borderId="0" xfId="0" applyNumberFormat="1"/>
  </cellXfs>
  <cellStyles count="9">
    <cellStyle name="Comma 2" xfId="3"/>
    <cellStyle name="Hyperlink" xfId="2" builtinId="8"/>
    <cellStyle name="no dec" xfId="4"/>
    <cellStyle name="Normal" xfId="0" builtinId="0"/>
    <cellStyle name="Normal 2" xfId="5"/>
    <cellStyle name="Normal 2 2" xfId="6"/>
    <cellStyle name="Normal 3" xfId="1"/>
    <cellStyle name="Normal 4" xfId="7"/>
    <cellStyle name="Percent 2" xfId="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4</xdr:row>
          <xdr:rowOff>95250</xdr:rowOff>
        </xdr:from>
        <xdr:to>
          <xdr:col>3</xdr:col>
          <xdr:colOff>114300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hare/DriveZ/00CenterPoint%20SOP/2015/service%20center/repository/2015s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1Work/00CenterPoint%20SOP/2012/Lighting/4th%20draft%20-%20Final/Ding/Questions/Stephanie/Rosenburg/NexantLightingSpreadsheet.xls_1538_2244_IA_4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"/>
      <sheetName val="Sponsor"/>
      <sheetName val="Setting"/>
      <sheetName val="Data"/>
      <sheetName val="Cut Sheets"/>
      <sheetName val="Service Center"/>
      <sheetName val="Converter"/>
      <sheetName val="Pre-Inspection"/>
      <sheetName val="Post-Inspection"/>
      <sheetName val="NC-Inspection"/>
      <sheetName val="Field-Report"/>
      <sheetName val="Pre-Logging"/>
      <sheetName val="Post-Logging"/>
      <sheetName val="NC-Logging"/>
      <sheetName val="CW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ARNING"/>
      <sheetName val="Customer Information"/>
      <sheetName val="Project Information"/>
      <sheetName val="Project Summary"/>
      <sheetName val="Fixture Legend"/>
      <sheetName val="Help"/>
      <sheetName val="Factors"/>
      <sheetName val="CWT"/>
      <sheetName val="Tool Information"/>
      <sheetName val="Front"/>
    </sheetNames>
    <sheetDataSet>
      <sheetData sheetId="0" refreshError="1"/>
      <sheetData sheetId="1">
        <row r="9">
          <cell r="K9" t="str">
            <v>Deemed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ereyes@neighborhood-centers.org" TargetMode="External"/><Relationship Id="rId3" Type="http://schemas.openxmlformats.org/officeDocument/2006/relationships/hyperlink" Target="mailto:slincoln@smartwattinc.com" TargetMode="External"/><Relationship Id="rId7" Type="http://schemas.openxmlformats.org/officeDocument/2006/relationships/hyperlink" Target="mailto:Cynthia.gintner@rexelusa.com" TargetMode="External"/><Relationship Id="rId2" Type="http://schemas.openxmlformats.org/officeDocument/2006/relationships/hyperlink" Target="mailto:nconger@buryinc.com" TargetMode="External"/><Relationship Id="rId1" Type="http://schemas.openxmlformats.org/officeDocument/2006/relationships/hyperlink" Target="mailto:lcignavitch@realwinwin.com" TargetMode="External"/><Relationship Id="rId6" Type="http://schemas.openxmlformats.org/officeDocument/2006/relationships/hyperlink" Target="mailto:rey.solis@MHPowerSystems.com" TargetMode="External"/><Relationship Id="rId5" Type="http://schemas.openxmlformats.org/officeDocument/2006/relationships/hyperlink" Target="mailto:jdrury@crawfordelectricsupply.com" TargetMode="External"/><Relationship Id="rId10" Type="http://schemas.openxmlformats.org/officeDocument/2006/relationships/hyperlink" Target="mailto:TMayo@realwinwin.com" TargetMode="External"/><Relationship Id="rId4" Type="http://schemas.openxmlformats.org/officeDocument/2006/relationships/hyperlink" Target="mailto:nick.steinbuck@siemens.com" TargetMode="External"/><Relationship Id="rId9" Type="http://schemas.openxmlformats.org/officeDocument/2006/relationships/hyperlink" Target="mailto:gtreanor@montereycor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H8" sqref="H8"/>
    </sheetView>
  </sheetViews>
  <sheetFormatPr defaultRowHeight="15" x14ac:dyDescent="0.25"/>
  <sheetData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114300</xdr:colOff>
                    <xdr:row>4</xdr:row>
                    <xdr:rowOff>95250</xdr:rowOff>
                  </from>
                  <to>
                    <xdr:col>3</xdr:col>
                    <xdr:colOff>114300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J37"/>
  <sheetViews>
    <sheetView zoomScale="80" zoomScaleNormal="80" workbookViewId="0">
      <selection activeCell="B11" sqref="B11"/>
    </sheetView>
  </sheetViews>
  <sheetFormatPr defaultRowHeight="15" x14ac:dyDescent="0.25"/>
  <cols>
    <col min="1" max="1" width="15.140625" bestFit="1" customWidth="1"/>
    <col min="2" max="2" width="29.42578125" bestFit="1" customWidth="1"/>
    <col min="4" max="4" width="17.28515625" bestFit="1" customWidth="1"/>
    <col min="5" max="5" width="19.140625" customWidth="1"/>
    <col min="6" max="6" width="25.28515625" customWidth="1"/>
    <col min="7" max="7" width="17.85546875" customWidth="1"/>
    <col min="8" max="8" width="23.140625" customWidth="1"/>
    <col min="9" max="9" width="11.85546875" customWidth="1"/>
    <col min="10" max="10" width="15.85546875" customWidth="1"/>
    <col min="11" max="11" width="14.5703125" customWidth="1"/>
    <col min="12" max="12" width="11.85546875" customWidth="1"/>
    <col min="13" max="13" width="24.85546875" customWidth="1"/>
    <col min="14" max="14" width="16.5703125" customWidth="1"/>
    <col min="15" max="15" width="15.42578125" customWidth="1"/>
    <col min="16" max="16" width="19.5703125" customWidth="1"/>
    <col min="17" max="17" width="15.42578125" customWidth="1"/>
    <col min="18" max="18" width="19.7109375" customWidth="1"/>
    <col min="19" max="19" width="23.140625" customWidth="1"/>
    <col min="20" max="20" width="13.28515625" customWidth="1"/>
    <col min="21" max="21" width="12.5703125" customWidth="1"/>
    <col min="22" max="22" width="15.28515625" bestFit="1" customWidth="1"/>
    <col min="23" max="23" width="17.42578125" bestFit="1" customWidth="1"/>
    <col min="26" max="26" width="25.85546875" bestFit="1" customWidth="1"/>
  </cols>
  <sheetData>
    <row r="1" spans="1:218" x14ac:dyDescent="0.25">
      <c r="A1" t="s">
        <v>3489</v>
      </c>
      <c r="B1" t="s">
        <v>3490</v>
      </c>
      <c r="C1" t="s">
        <v>3491</v>
      </c>
      <c r="D1" s="10" t="s">
        <v>3492</v>
      </c>
      <c r="E1" s="10" t="s">
        <v>3493</v>
      </c>
      <c r="F1" s="10" t="s">
        <v>3494</v>
      </c>
      <c r="G1" s="10" t="s">
        <v>3495</v>
      </c>
      <c r="H1" s="11" t="s">
        <v>3496</v>
      </c>
      <c r="I1" s="12" t="s">
        <v>3497</v>
      </c>
      <c r="J1" s="12" t="s">
        <v>3498</v>
      </c>
      <c r="K1" s="12" t="s">
        <v>3499</v>
      </c>
      <c r="L1" s="12" t="s">
        <v>3500</v>
      </c>
      <c r="M1" s="12" t="s">
        <v>3501</v>
      </c>
      <c r="N1" s="12" t="s">
        <v>3502</v>
      </c>
      <c r="O1" s="12" t="s">
        <v>3503</v>
      </c>
      <c r="P1" s="12" t="s">
        <v>3504</v>
      </c>
      <c r="Q1" s="12" t="s">
        <v>3505</v>
      </c>
      <c r="R1" s="12" t="s">
        <v>3506</v>
      </c>
      <c r="S1" s="12" t="s">
        <v>3507</v>
      </c>
      <c r="T1" s="12" t="s">
        <v>3508</v>
      </c>
      <c r="U1" s="12" t="s">
        <v>3509</v>
      </c>
      <c r="V1" s="12" t="s">
        <v>3510</v>
      </c>
      <c r="W1" s="12" t="s">
        <v>3511</v>
      </c>
      <c r="X1" s="12" t="s">
        <v>3512</v>
      </c>
      <c r="Y1" s="12" t="s">
        <v>3513</v>
      </c>
      <c r="Z1" s="13" t="s">
        <v>3514</v>
      </c>
      <c r="AA1" s="12"/>
      <c r="AB1" s="12"/>
      <c r="AC1" s="12"/>
      <c r="AD1" s="12">
        <f>COLUMN()</f>
        <v>30</v>
      </c>
      <c r="AE1">
        <v>2</v>
      </c>
      <c r="AF1">
        <f>AE1+1</f>
        <v>3</v>
      </c>
      <c r="AG1">
        <f t="shared" ref="AG1:AX1" si="0">AF1+1</f>
        <v>4</v>
      </c>
      <c r="AH1">
        <f t="shared" si="0"/>
        <v>5</v>
      </c>
      <c r="AI1">
        <f t="shared" si="0"/>
        <v>6</v>
      </c>
      <c r="AJ1">
        <f t="shared" si="0"/>
        <v>7</v>
      </c>
      <c r="AK1">
        <f t="shared" si="0"/>
        <v>8</v>
      </c>
      <c r="AL1">
        <f t="shared" si="0"/>
        <v>9</v>
      </c>
      <c r="AM1">
        <f t="shared" si="0"/>
        <v>10</v>
      </c>
      <c r="AN1">
        <f t="shared" si="0"/>
        <v>11</v>
      </c>
      <c r="AO1">
        <f t="shared" si="0"/>
        <v>12</v>
      </c>
      <c r="AP1">
        <f t="shared" si="0"/>
        <v>13</v>
      </c>
      <c r="AQ1">
        <f t="shared" si="0"/>
        <v>14</v>
      </c>
      <c r="AR1">
        <f t="shared" si="0"/>
        <v>15</v>
      </c>
      <c r="AS1">
        <f t="shared" si="0"/>
        <v>16</v>
      </c>
      <c r="AT1">
        <f t="shared" si="0"/>
        <v>17</v>
      </c>
      <c r="AU1">
        <f t="shared" si="0"/>
        <v>18</v>
      </c>
      <c r="AV1">
        <f t="shared" si="0"/>
        <v>19</v>
      </c>
      <c r="AW1">
        <f t="shared" si="0"/>
        <v>20</v>
      </c>
      <c r="AX1">
        <f t="shared" si="0"/>
        <v>21</v>
      </c>
    </row>
    <row r="2" spans="1:218" x14ac:dyDescent="0.25">
      <c r="A2" t="s">
        <v>3515</v>
      </c>
      <c r="B2" t="s">
        <v>3516</v>
      </c>
      <c r="C2" t="s">
        <v>3517</v>
      </c>
      <c r="D2" t="s">
        <v>3518</v>
      </c>
      <c r="E2" t="s">
        <v>3519</v>
      </c>
      <c r="F2" s="14">
        <v>41729</v>
      </c>
      <c r="G2" s="15">
        <v>8636</v>
      </c>
      <c r="H2" s="15">
        <v>172737.8</v>
      </c>
      <c r="I2" t="s">
        <v>3520</v>
      </c>
      <c r="J2" s="14"/>
      <c r="K2" s="14"/>
      <c r="L2" s="14"/>
      <c r="M2" s="14"/>
      <c r="N2" s="15"/>
      <c r="O2" s="14"/>
      <c r="P2" s="14"/>
      <c r="Q2" s="14"/>
      <c r="R2" s="14"/>
      <c r="S2" s="15"/>
      <c r="U2" s="15"/>
      <c r="V2" t="s">
        <v>3521</v>
      </c>
      <c r="W2" t="s">
        <v>3522</v>
      </c>
      <c r="X2">
        <v>312.3</v>
      </c>
      <c r="Y2">
        <v>832180</v>
      </c>
      <c r="Z2" s="15">
        <v>172737.8</v>
      </c>
      <c r="AD2" s="4" t="s">
        <v>3523</v>
      </c>
      <c r="AE2" t="s">
        <v>3524</v>
      </c>
      <c r="AF2" t="s">
        <v>88</v>
      </c>
      <c r="AG2" t="s">
        <v>23</v>
      </c>
      <c r="AH2">
        <v>77079</v>
      </c>
      <c r="AI2" t="s">
        <v>67</v>
      </c>
      <c r="AK2" t="s">
        <v>3525</v>
      </c>
      <c r="AL2" t="s">
        <v>3526</v>
      </c>
      <c r="AM2" t="s">
        <v>3527</v>
      </c>
      <c r="AN2" t="s">
        <v>3528</v>
      </c>
      <c r="AO2" t="s">
        <v>3529</v>
      </c>
      <c r="AP2">
        <v>188575</v>
      </c>
      <c r="AQ2" t="s">
        <v>3530</v>
      </c>
      <c r="AR2" t="s">
        <v>3531</v>
      </c>
      <c r="AS2">
        <v>60.16</v>
      </c>
      <c r="AT2">
        <v>160292</v>
      </c>
      <c r="AU2">
        <v>260</v>
      </c>
      <c r="AV2">
        <v>0.11</v>
      </c>
      <c r="AW2">
        <v>33273.72</v>
      </c>
      <c r="AX2" t="s">
        <v>3532</v>
      </c>
      <c r="AY2" s="4" t="s">
        <v>3523</v>
      </c>
      <c r="AZ2" t="s">
        <v>3533</v>
      </c>
      <c r="BA2" t="s">
        <v>88</v>
      </c>
      <c r="BB2" t="s">
        <v>23</v>
      </c>
      <c r="BC2">
        <v>77079</v>
      </c>
      <c r="BD2" t="s">
        <v>67</v>
      </c>
      <c r="BF2" t="s">
        <v>3525</v>
      </c>
      <c r="BG2" t="s">
        <v>3526</v>
      </c>
      <c r="BH2" t="s">
        <v>3527</v>
      </c>
      <c r="BI2" t="s">
        <v>3528</v>
      </c>
      <c r="BJ2" t="s">
        <v>3529</v>
      </c>
      <c r="BK2">
        <v>183268</v>
      </c>
      <c r="BL2" t="s">
        <v>3530</v>
      </c>
      <c r="BM2" t="s">
        <v>3531</v>
      </c>
      <c r="BN2">
        <v>101.02</v>
      </c>
      <c r="BO2">
        <v>269192</v>
      </c>
      <c r="BP2">
        <v>260</v>
      </c>
      <c r="BQ2">
        <v>0.11</v>
      </c>
      <c r="BR2">
        <v>55876.32</v>
      </c>
      <c r="BS2" t="s">
        <v>3532</v>
      </c>
      <c r="BT2" s="4" t="s">
        <v>3523</v>
      </c>
      <c r="BU2" t="s">
        <v>3534</v>
      </c>
      <c r="BV2" t="s">
        <v>88</v>
      </c>
      <c r="BW2" t="s">
        <v>23</v>
      </c>
      <c r="BX2">
        <v>77027</v>
      </c>
      <c r="BY2" t="s">
        <v>67</v>
      </c>
      <c r="CA2" t="s">
        <v>3525</v>
      </c>
      <c r="CB2" t="s">
        <v>3526</v>
      </c>
      <c r="CC2" t="s">
        <v>3527</v>
      </c>
      <c r="CD2" t="s">
        <v>3528</v>
      </c>
      <c r="CE2" t="s">
        <v>3529</v>
      </c>
      <c r="CF2">
        <v>233871</v>
      </c>
      <c r="CG2" t="s">
        <v>3530</v>
      </c>
      <c r="CH2" t="s">
        <v>3531</v>
      </c>
      <c r="CI2">
        <v>50.1</v>
      </c>
      <c r="CJ2">
        <v>133504</v>
      </c>
      <c r="CK2">
        <v>260</v>
      </c>
      <c r="CL2">
        <v>0.11</v>
      </c>
      <c r="CM2">
        <v>27711.440000000002</v>
      </c>
      <c r="CN2" t="s">
        <v>3532</v>
      </c>
      <c r="CO2" s="4" t="s">
        <v>3523</v>
      </c>
      <c r="CP2" t="s">
        <v>3535</v>
      </c>
      <c r="CQ2" t="s">
        <v>88</v>
      </c>
      <c r="CR2" t="s">
        <v>23</v>
      </c>
      <c r="CS2">
        <v>77079</v>
      </c>
      <c r="CT2" t="s">
        <v>67</v>
      </c>
      <c r="CV2" t="s">
        <v>3525</v>
      </c>
      <c r="CW2" t="s">
        <v>3526</v>
      </c>
      <c r="CX2" t="s">
        <v>3527</v>
      </c>
      <c r="CY2" t="s">
        <v>3528</v>
      </c>
      <c r="CZ2" t="s">
        <v>3529</v>
      </c>
      <c r="DA2">
        <v>194465</v>
      </c>
      <c r="DB2" t="s">
        <v>3530</v>
      </c>
      <c r="DC2" t="s">
        <v>3531</v>
      </c>
      <c r="DD2">
        <v>101.02</v>
      </c>
      <c r="DE2">
        <v>269192</v>
      </c>
      <c r="DF2">
        <v>260</v>
      </c>
      <c r="DG2">
        <v>0.11</v>
      </c>
      <c r="DH2">
        <v>55876.32</v>
      </c>
      <c r="DI2" t="s">
        <v>3532</v>
      </c>
    </row>
    <row r="3" spans="1:218" x14ac:dyDescent="0.25">
      <c r="A3" t="s">
        <v>3536</v>
      </c>
      <c r="B3" t="s">
        <v>3537</v>
      </c>
      <c r="C3" t="s">
        <v>3538</v>
      </c>
      <c r="D3" t="s">
        <v>3518</v>
      </c>
      <c r="E3" t="s">
        <v>3539</v>
      </c>
      <c r="F3" s="14">
        <v>41730</v>
      </c>
      <c r="G3" s="15">
        <v>1349.93</v>
      </c>
      <c r="H3" s="15">
        <v>27712.46</v>
      </c>
      <c r="I3" t="s">
        <v>3520</v>
      </c>
      <c r="J3" s="14">
        <v>41666</v>
      </c>
      <c r="K3" s="14">
        <v>41669</v>
      </c>
      <c r="L3" s="14">
        <v>41675</v>
      </c>
      <c r="M3" s="14">
        <v>41786</v>
      </c>
      <c r="N3" s="15">
        <v>104516</v>
      </c>
      <c r="O3" s="14">
        <v>41786</v>
      </c>
      <c r="P3" s="14">
        <v>41787</v>
      </c>
      <c r="Q3" s="14">
        <v>41829</v>
      </c>
      <c r="R3" s="14">
        <v>41813</v>
      </c>
      <c r="S3" s="15">
        <v>27712.46</v>
      </c>
      <c r="T3" t="s">
        <v>3540</v>
      </c>
      <c r="U3" s="15">
        <v>0</v>
      </c>
      <c r="V3" t="s">
        <v>3541</v>
      </c>
      <c r="W3" t="s">
        <v>3542</v>
      </c>
      <c r="X3">
        <v>38.369999999999997</v>
      </c>
      <c r="Y3">
        <v>251328</v>
      </c>
      <c r="Z3" s="15">
        <v>28163.94</v>
      </c>
      <c r="AD3" s="4" t="s">
        <v>3543</v>
      </c>
      <c r="AE3" t="s">
        <v>3544</v>
      </c>
      <c r="AF3" t="s">
        <v>22</v>
      </c>
      <c r="AG3" t="s">
        <v>23</v>
      </c>
      <c r="AH3">
        <v>77054</v>
      </c>
      <c r="AI3" t="s">
        <v>67</v>
      </c>
      <c r="AK3" t="s">
        <v>3545</v>
      </c>
      <c r="AL3" t="s">
        <v>3537</v>
      </c>
      <c r="AM3" t="s">
        <v>3527</v>
      </c>
      <c r="AN3" t="s">
        <v>3546</v>
      </c>
      <c r="AO3" t="s">
        <v>941</v>
      </c>
      <c r="AP3">
        <v>100000</v>
      </c>
      <c r="AQ3" t="s">
        <v>3547</v>
      </c>
      <c r="AR3" t="s">
        <v>3548</v>
      </c>
      <c r="AS3">
        <v>38.369999999999997</v>
      </c>
      <c r="AT3">
        <v>251328</v>
      </c>
      <c r="AU3">
        <v>210</v>
      </c>
      <c r="AV3">
        <v>0.08</v>
      </c>
      <c r="AW3">
        <v>28163.940000000002</v>
      </c>
      <c r="AX3" t="s">
        <v>3549</v>
      </c>
      <c r="AY3" s="4"/>
      <c r="BT3" s="4"/>
    </row>
    <row r="4" spans="1:218" x14ac:dyDescent="0.25">
      <c r="A4" t="s">
        <v>3550</v>
      </c>
      <c r="B4" t="s">
        <v>3551</v>
      </c>
      <c r="C4" t="s">
        <v>3552</v>
      </c>
      <c r="D4" t="s">
        <v>3553</v>
      </c>
      <c r="E4" t="s">
        <v>3539</v>
      </c>
      <c r="F4" s="14">
        <v>41730</v>
      </c>
      <c r="G4" s="15">
        <v>1400</v>
      </c>
      <c r="H4" s="15">
        <v>22793.84</v>
      </c>
      <c r="I4" t="s">
        <v>3520</v>
      </c>
      <c r="J4" s="14">
        <v>41667</v>
      </c>
      <c r="K4" s="14">
        <v>1</v>
      </c>
      <c r="L4" s="14">
        <v>41682</v>
      </c>
      <c r="M4" s="14">
        <v>41690</v>
      </c>
      <c r="N4" s="15">
        <v>93771.56</v>
      </c>
      <c r="O4" s="14">
        <v>41690</v>
      </c>
      <c r="P4" s="14">
        <v>41696</v>
      </c>
      <c r="Q4" s="14">
        <v>41723</v>
      </c>
      <c r="R4" s="14">
        <v>1</v>
      </c>
      <c r="S4" s="15"/>
      <c r="T4" t="s">
        <v>3540</v>
      </c>
      <c r="U4" s="15">
        <v>0</v>
      </c>
      <c r="V4" t="s">
        <v>3521</v>
      </c>
      <c r="W4" t="s">
        <v>3554</v>
      </c>
      <c r="X4">
        <v>48.46</v>
      </c>
      <c r="Y4">
        <v>424466</v>
      </c>
      <c r="Z4" s="15">
        <v>22793.84</v>
      </c>
      <c r="AD4" s="4" t="s">
        <v>3523</v>
      </c>
      <c r="AE4" t="s">
        <v>3555</v>
      </c>
      <c r="AF4" t="s">
        <v>22</v>
      </c>
      <c r="AG4" t="s">
        <v>23</v>
      </c>
      <c r="AH4">
        <v>77086</v>
      </c>
      <c r="AI4" t="s">
        <v>67</v>
      </c>
      <c r="AK4" t="s">
        <v>3556</v>
      </c>
      <c r="AL4" t="s">
        <v>3557</v>
      </c>
      <c r="AM4" t="s">
        <v>3558</v>
      </c>
      <c r="AN4" t="s">
        <v>3559</v>
      </c>
      <c r="AO4" t="s">
        <v>1785</v>
      </c>
      <c r="AP4">
        <v>211200</v>
      </c>
      <c r="AQ4" t="s">
        <v>3560</v>
      </c>
      <c r="AR4" t="s">
        <v>2097</v>
      </c>
      <c r="AS4">
        <v>48.46</v>
      </c>
      <c r="AT4">
        <v>424466</v>
      </c>
      <c r="AU4">
        <v>120</v>
      </c>
      <c r="AV4">
        <v>0.04</v>
      </c>
      <c r="AW4">
        <v>22793.84</v>
      </c>
      <c r="AX4" t="s">
        <v>3561</v>
      </c>
      <c r="AY4" s="4"/>
      <c r="BT4" s="4"/>
    </row>
    <row r="5" spans="1:218" x14ac:dyDescent="0.25">
      <c r="A5" t="s">
        <v>3562</v>
      </c>
      <c r="B5" t="s">
        <v>3563</v>
      </c>
      <c r="C5" t="s">
        <v>3564</v>
      </c>
      <c r="D5" t="s">
        <v>3518</v>
      </c>
      <c r="E5" t="s">
        <v>3539</v>
      </c>
      <c r="F5" s="14">
        <v>41685</v>
      </c>
      <c r="G5" s="15">
        <v>373</v>
      </c>
      <c r="H5" s="15">
        <v>7461.58</v>
      </c>
      <c r="I5" t="s">
        <v>3520</v>
      </c>
      <c r="J5" s="14">
        <v>41655</v>
      </c>
      <c r="K5" s="14">
        <v>41670</v>
      </c>
      <c r="L5" s="14">
        <v>41677</v>
      </c>
      <c r="M5" s="14">
        <v>41757</v>
      </c>
      <c r="N5" s="15">
        <v>18578.740000000002</v>
      </c>
      <c r="O5" s="14">
        <v>41739</v>
      </c>
      <c r="P5" s="14">
        <v>41745</v>
      </c>
      <c r="Q5" s="14">
        <v>41757</v>
      </c>
      <c r="R5" s="14">
        <v>41739</v>
      </c>
      <c r="S5" s="15">
        <v>4678.78</v>
      </c>
      <c r="T5" t="s">
        <v>3540</v>
      </c>
      <c r="U5" s="15">
        <v>0</v>
      </c>
      <c r="V5" t="s">
        <v>3541</v>
      </c>
      <c r="W5" t="s">
        <v>3565</v>
      </c>
      <c r="X5">
        <v>10.78</v>
      </c>
      <c r="Y5">
        <v>84505</v>
      </c>
      <c r="Z5" s="15">
        <v>4678.78</v>
      </c>
      <c r="AD5" s="4" t="s">
        <v>3523</v>
      </c>
      <c r="AE5" t="s">
        <v>3566</v>
      </c>
      <c r="AF5" t="s">
        <v>1364</v>
      </c>
      <c r="AG5" t="s">
        <v>23</v>
      </c>
      <c r="AH5">
        <v>77493</v>
      </c>
      <c r="AI5" t="s">
        <v>67</v>
      </c>
      <c r="AK5" t="s">
        <v>3556</v>
      </c>
      <c r="AL5" t="s">
        <v>3567</v>
      </c>
      <c r="AM5" t="s">
        <v>3527</v>
      </c>
      <c r="AN5" t="s">
        <v>3568</v>
      </c>
      <c r="AO5" t="s">
        <v>3569</v>
      </c>
      <c r="AP5">
        <v>25000</v>
      </c>
      <c r="AQ5" t="s">
        <v>3570</v>
      </c>
      <c r="AR5" t="s">
        <v>3571</v>
      </c>
      <c r="AS5">
        <v>10.77</v>
      </c>
      <c r="AT5">
        <v>84403</v>
      </c>
      <c r="AU5">
        <v>120</v>
      </c>
      <c r="AV5">
        <v>0.04</v>
      </c>
      <c r="AW5">
        <v>4668.5199999999995</v>
      </c>
      <c r="AX5" t="s">
        <v>3572</v>
      </c>
      <c r="AY5" s="4" t="s">
        <v>3523</v>
      </c>
      <c r="AZ5" t="s">
        <v>3566</v>
      </c>
      <c r="BA5" t="s">
        <v>1364</v>
      </c>
      <c r="BB5" t="s">
        <v>23</v>
      </c>
      <c r="BC5">
        <v>77493</v>
      </c>
      <c r="BD5" t="s">
        <v>67</v>
      </c>
      <c r="BF5" t="s">
        <v>3545</v>
      </c>
      <c r="BG5" t="s">
        <v>3567</v>
      </c>
      <c r="BH5" t="s">
        <v>3527</v>
      </c>
      <c r="BI5" t="s">
        <v>3568</v>
      </c>
      <c r="BJ5" t="s">
        <v>3569</v>
      </c>
      <c r="BK5">
        <v>25000</v>
      </c>
      <c r="BL5" t="s">
        <v>3570</v>
      </c>
      <c r="BM5" t="s">
        <v>3571</v>
      </c>
      <c r="BN5">
        <v>0.01</v>
      </c>
      <c r="BO5">
        <v>102</v>
      </c>
      <c r="BP5">
        <v>210</v>
      </c>
      <c r="BQ5">
        <v>0.08</v>
      </c>
      <c r="BR5">
        <v>10.26</v>
      </c>
      <c r="BS5" t="s">
        <v>3572</v>
      </c>
      <c r="BT5" s="4"/>
    </row>
    <row r="6" spans="1:218" x14ac:dyDescent="0.25">
      <c r="A6" t="s">
        <v>3573</v>
      </c>
      <c r="B6" t="s">
        <v>3574</v>
      </c>
      <c r="C6" t="s">
        <v>3575</v>
      </c>
      <c r="D6" t="s">
        <v>3553</v>
      </c>
      <c r="E6" t="s">
        <v>3576</v>
      </c>
      <c r="F6" s="14">
        <v>41698</v>
      </c>
      <c r="G6" s="15">
        <v>1426.45</v>
      </c>
      <c r="H6" s="15"/>
      <c r="I6" t="s">
        <v>3520</v>
      </c>
      <c r="J6" s="14">
        <v>41655</v>
      </c>
      <c r="K6" s="14"/>
      <c r="L6" s="14"/>
      <c r="M6" s="14"/>
      <c r="N6" s="15"/>
      <c r="O6" s="14"/>
      <c r="P6" s="14"/>
      <c r="Q6" s="14"/>
      <c r="R6" s="14"/>
      <c r="S6" s="15"/>
      <c r="T6" t="s">
        <v>3540</v>
      </c>
      <c r="U6" s="15">
        <v>0</v>
      </c>
      <c r="V6" t="s">
        <v>3577</v>
      </c>
      <c r="W6" t="s">
        <v>3578</v>
      </c>
      <c r="X6">
        <v>100.22</v>
      </c>
      <c r="Y6">
        <v>284341</v>
      </c>
      <c r="Z6" s="15">
        <v>33068.49</v>
      </c>
      <c r="AD6" s="4" t="s">
        <v>3579</v>
      </c>
      <c r="AE6" t="s">
        <v>3580</v>
      </c>
      <c r="AF6" t="s">
        <v>22</v>
      </c>
      <c r="AG6" t="s">
        <v>23</v>
      </c>
      <c r="AH6">
        <v>77070</v>
      </c>
      <c r="AI6" t="s">
        <v>67</v>
      </c>
      <c r="AK6" t="s">
        <v>3556</v>
      </c>
      <c r="AL6" t="s">
        <v>3581</v>
      </c>
      <c r="AM6" t="s">
        <v>3527</v>
      </c>
      <c r="AN6" t="s">
        <v>3582</v>
      </c>
      <c r="AO6" t="s">
        <v>3583</v>
      </c>
      <c r="AP6">
        <v>29258</v>
      </c>
      <c r="AQ6" t="s">
        <v>3584</v>
      </c>
      <c r="AR6" t="s">
        <v>3585</v>
      </c>
      <c r="AS6">
        <v>13.89</v>
      </c>
      <c r="AT6">
        <v>58578</v>
      </c>
      <c r="AU6">
        <v>120</v>
      </c>
      <c r="AV6">
        <v>0.04</v>
      </c>
      <c r="AW6">
        <v>4009.92</v>
      </c>
      <c r="AX6" t="s">
        <v>3586</v>
      </c>
      <c r="AY6" s="4" t="s">
        <v>3587</v>
      </c>
      <c r="AZ6" t="s">
        <v>3588</v>
      </c>
      <c r="BA6" t="s">
        <v>22</v>
      </c>
      <c r="BB6" t="s">
        <v>23</v>
      </c>
      <c r="BC6">
        <v>77070</v>
      </c>
      <c r="BD6" t="s">
        <v>67</v>
      </c>
      <c r="BF6" t="s">
        <v>3556</v>
      </c>
      <c r="BG6" t="s">
        <v>3589</v>
      </c>
      <c r="BH6" t="s">
        <v>3527</v>
      </c>
      <c r="BI6" t="s">
        <v>3590</v>
      </c>
      <c r="BJ6" t="s">
        <v>3583</v>
      </c>
      <c r="BK6">
        <v>44987</v>
      </c>
      <c r="BL6" t="s">
        <v>3584</v>
      </c>
      <c r="BM6" t="s">
        <v>3585</v>
      </c>
      <c r="BN6">
        <v>27.56</v>
      </c>
      <c r="BO6">
        <v>107235</v>
      </c>
      <c r="BP6">
        <v>120</v>
      </c>
      <c r="BQ6">
        <v>0.04</v>
      </c>
      <c r="BR6">
        <v>7596.5999999999995</v>
      </c>
      <c r="BS6" t="s">
        <v>3586</v>
      </c>
      <c r="BT6" s="4" t="s">
        <v>3591</v>
      </c>
      <c r="BU6" t="s">
        <v>3592</v>
      </c>
      <c r="BV6" t="s">
        <v>22</v>
      </c>
      <c r="BW6" t="s">
        <v>23</v>
      </c>
      <c r="BX6">
        <v>77070</v>
      </c>
      <c r="BY6" t="s">
        <v>67</v>
      </c>
      <c r="CA6" t="s">
        <v>3556</v>
      </c>
      <c r="CB6" t="s">
        <v>3593</v>
      </c>
      <c r="CC6" t="s">
        <v>3527</v>
      </c>
      <c r="CD6" t="s">
        <v>3582</v>
      </c>
      <c r="CE6" t="s">
        <v>3583</v>
      </c>
      <c r="CF6">
        <v>18300</v>
      </c>
      <c r="CG6" t="s">
        <v>3584</v>
      </c>
      <c r="CH6" t="s">
        <v>3585</v>
      </c>
      <c r="CI6">
        <v>10.01</v>
      </c>
      <c r="CJ6">
        <v>42183</v>
      </c>
      <c r="CK6">
        <v>120</v>
      </c>
      <c r="CL6">
        <v>0.04</v>
      </c>
      <c r="CM6">
        <v>2888.52</v>
      </c>
      <c r="CN6" t="s">
        <v>3586</v>
      </c>
      <c r="CO6" s="4" t="s">
        <v>3579</v>
      </c>
      <c r="CP6" t="s">
        <v>3580</v>
      </c>
      <c r="CQ6" t="s">
        <v>22</v>
      </c>
      <c r="CR6" t="s">
        <v>23</v>
      </c>
      <c r="CS6">
        <v>77070</v>
      </c>
      <c r="CT6" t="s">
        <v>67</v>
      </c>
      <c r="CV6" t="s">
        <v>3594</v>
      </c>
      <c r="CW6" t="s">
        <v>3581</v>
      </c>
      <c r="CX6" t="s">
        <v>3527</v>
      </c>
      <c r="CY6" t="s">
        <v>3582</v>
      </c>
      <c r="CZ6" t="s">
        <v>3583</v>
      </c>
      <c r="DA6">
        <v>29258</v>
      </c>
      <c r="DB6" t="s">
        <v>3584</v>
      </c>
      <c r="DC6" t="s">
        <v>3585</v>
      </c>
      <c r="DD6">
        <v>9.41</v>
      </c>
      <c r="DE6">
        <v>14736</v>
      </c>
      <c r="DF6">
        <v>240</v>
      </c>
      <c r="DG6">
        <v>0.09</v>
      </c>
      <c r="DH6">
        <v>3584.6400000000003</v>
      </c>
      <c r="DI6" t="s">
        <v>3586</v>
      </c>
      <c r="DJ6" s="4" t="s">
        <v>3587</v>
      </c>
      <c r="DK6" t="s">
        <v>3588</v>
      </c>
      <c r="DL6" t="s">
        <v>22</v>
      </c>
      <c r="DM6" t="s">
        <v>23</v>
      </c>
      <c r="DN6">
        <v>77070</v>
      </c>
      <c r="DO6" t="s">
        <v>67</v>
      </c>
      <c r="DQ6" t="s">
        <v>3594</v>
      </c>
      <c r="DR6" t="s">
        <v>3589</v>
      </c>
      <c r="DS6" t="s">
        <v>3527</v>
      </c>
      <c r="DT6" t="s">
        <v>3590</v>
      </c>
      <c r="DU6" t="s">
        <v>3583</v>
      </c>
      <c r="DV6">
        <v>44987</v>
      </c>
      <c r="DW6" t="s">
        <v>3584</v>
      </c>
      <c r="DX6" t="s">
        <v>3585</v>
      </c>
      <c r="DY6">
        <v>26.32</v>
      </c>
      <c r="DZ6">
        <v>41207</v>
      </c>
      <c r="EA6">
        <v>240</v>
      </c>
      <c r="EB6">
        <v>0.09</v>
      </c>
      <c r="EC6">
        <v>10025.43</v>
      </c>
      <c r="ED6" t="s">
        <v>3586</v>
      </c>
      <c r="EE6" s="4" t="s">
        <v>3591</v>
      </c>
      <c r="EF6" t="s">
        <v>3592</v>
      </c>
      <c r="EG6" t="s">
        <v>22</v>
      </c>
      <c r="EH6" t="s">
        <v>23</v>
      </c>
      <c r="EI6">
        <v>77070</v>
      </c>
      <c r="EJ6" t="s">
        <v>67</v>
      </c>
      <c r="EL6" t="s">
        <v>3594</v>
      </c>
      <c r="EM6" t="s">
        <v>3593</v>
      </c>
      <c r="EN6" t="s">
        <v>3527</v>
      </c>
      <c r="EO6" t="s">
        <v>3582</v>
      </c>
      <c r="EP6" t="s">
        <v>3583</v>
      </c>
      <c r="EQ6">
        <v>18300</v>
      </c>
      <c r="ER6" t="s">
        <v>3584</v>
      </c>
      <c r="ES6" t="s">
        <v>3585</v>
      </c>
      <c r="ET6">
        <v>6.52</v>
      </c>
      <c r="EU6">
        <v>10201</v>
      </c>
      <c r="EV6">
        <v>240</v>
      </c>
      <c r="EW6">
        <v>0.09</v>
      </c>
      <c r="EX6">
        <v>2482.89</v>
      </c>
      <c r="EY6" t="s">
        <v>3586</v>
      </c>
      <c r="EZ6" s="4" t="s">
        <v>3591</v>
      </c>
      <c r="FA6" t="s">
        <v>3592</v>
      </c>
      <c r="FB6" t="s">
        <v>22</v>
      </c>
      <c r="FC6" t="s">
        <v>23</v>
      </c>
      <c r="FD6">
        <v>77070</v>
      </c>
      <c r="FE6" t="s">
        <v>67</v>
      </c>
      <c r="FG6" t="s">
        <v>3594</v>
      </c>
      <c r="FH6" t="s">
        <v>3595</v>
      </c>
      <c r="FI6" t="s">
        <v>3527</v>
      </c>
      <c r="FJ6" t="s">
        <v>3596</v>
      </c>
      <c r="FK6" t="s">
        <v>3583</v>
      </c>
      <c r="FL6">
        <v>18300</v>
      </c>
      <c r="FM6" t="s">
        <v>3584</v>
      </c>
      <c r="FN6" t="s">
        <v>3585</v>
      </c>
      <c r="FO6">
        <v>6.5100000000000007</v>
      </c>
      <c r="FP6">
        <v>10201</v>
      </c>
      <c r="FQ6">
        <v>240</v>
      </c>
      <c r="FR6">
        <v>0.09</v>
      </c>
      <c r="FS6">
        <v>2480.4899999999998</v>
      </c>
      <c r="FT6" t="s">
        <v>3586</v>
      </c>
    </row>
    <row r="7" spans="1:218" x14ac:dyDescent="0.25">
      <c r="A7" t="s">
        <v>3597</v>
      </c>
      <c r="B7" t="s">
        <v>3598</v>
      </c>
      <c r="C7" t="s">
        <v>3599</v>
      </c>
      <c r="D7" t="s">
        <v>3518</v>
      </c>
      <c r="E7" t="s">
        <v>3539</v>
      </c>
      <c r="F7" s="14">
        <v>41698</v>
      </c>
      <c r="G7" s="15">
        <v>0</v>
      </c>
      <c r="H7" s="15">
        <v>4918.18</v>
      </c>
      <c r="J7" s="14"/>
      <c r="K7" s="14"/>
      <c r="L7" s="14"/>
      <c r="M7" s="14"/>
      <c r="N7" s="15"/>
      <c r="O7" s="14"/>
      <c r="P7" s="14"/>
      <c r="Q7" s="14"/>
      <c r="R7" s="14"/>
      <c r="S7" s="15"/>
      <c r="T7" t="s">
        <v>3540</v>
      </c>
      <c r="U7" s="15">
        <v>0</v>
      </c>
      <c r="V7" t="s">
        <v>3600</v>
      </c>
      <c r="W7" t="s">
        <v>3601</v>
      </c>
      <c r="X7">
        <v>5.85</v>
      </c>
      <c r="Y7">
        <v>46121</v>
      </c>
      <c r="Z7" s="15">
        <v>4918.18</v>
      </c>
      <c r="AD7" s="4" t="s">
        <v>3602</v>
      </c>
      <c r="AE7" t="s">
        <v>3603</v>
      </c>
      <c r="AF7" t="s">
        <v>2890</v>
      </c>
      <c r="AG7" t="s">
        <v>23</v>
      </c>
      <c r="AH7">
        <v>77479</v>
      </c>
      <c r="AI7" t="s">
        <v>67</v>
      </c>
      <c r="AK7" t="s">
        <v>3545</v>
      </c>
      <c r="AL7" t="s">
        <v>3598</v>
      </c>
      <c r="AM7" t="s">
        <v>3527</v>
      </c>
      <c r="AN7" t="s">
        <v>3604</v>
      </c>
      <c r="AO7" t="s">
        <v>3605</v>
      </c>
      <c r="AP7">
        <v>40000</v>
      </c>
      <c r="AQ7" t="s">
        <v>1943</v>
      </c>
      <c r="AR7" t="s">
        <v>1948</v>
      </c>
      <c r="AS7">
        <v>5.85</v>
      </c>
      <c r="AT7">
        <v>46121</v>
      </c>
      <c r="AU7">
        <v>210</v>
      </c>
      <c r="AV7">
        <v>0.08</v>
      </c>
      <c r="AW7">
        <v>4918.18</v>
      </c>
      <c r="AX7" t="s">
        <v>3606</v>
      </c>
      <c r="AY7" s="4"/>
      <c r="BT7" s="4"/>
    </row>
    <row r="8" spans="1:218" x14ac:dyDescent="0.25">
      <c r="A8" t="s">
        <v>3607</v>
      </c>
      <c r="B8" t="s">
        <v>3608</v>
      </c>
      <c r="C8" t="s">
        <v>3552</v>
      </c>
      <c r="D8" t="s">
        <v>3518</v>
      </c>
      <c r="E8" t="s">
        <v>3539</v>
      </c>
      <c r="F8" s="14">
        <v>41729</v>
      </c>
      <c r="G8" s="15">
        <v>674</v>
      </c>
      <c r="H8" s="15">
        <v>13472.2</v>
      </c>
      <c r="I8" t="s">
        <v>3609</v>
      </c>
      <c r="J8" s="14">
        <v>41648</v>
      </c>
      <c r="K8" s="14">
        <v>41655</v>
      </c>
      <c r="L8" s="14">
        <v>41670</v>
      </c>
      <c r="M8" s="14">
        <v>41698</v>
      </c>
      <c r="N8" s="15">
        <v>188280.88</v>
      </c>
      <c r="O8" s="14">
        <v>41698</v>
      </c>
      <c r="P8" s="14">
        <v>41710</v>
      </c>
      <c r="Q8" s="14">
        <v>41712</v>
      </c>
      <c r="R8" s="14">
        <v>41711</v>
      </c>
      <c r="S8" s="15"/>
      <c r="T8" t="s">
        <v>3540</v>
      </c>
      <c r="U8" s="15">
        <v>0</v>
      </c>
      <c r="V8" t="s">
        <v>3521</v>
      </c>
      <c r="W8" t="s">
        <v>3554</v>
      </c>
      <c r="X8">
        <v>43.34</v>
      </c>
      <c r="Y8">
        <v>206785</v>
      </c>
      <c r="Z8" s="15">
        <v>13472.2</v>
      </c>
      <c r="AD8" s="4" t="s">
        <v>3610</v>
      </c>
      <c r="AE8" t="s">
        <v>3611</v>
      </c>
      <c r="AF8" t="s">
        <v>22</v>
      </c>
      <c r="AG8" t="s">
        <v>23</v>
      </c>
      <c r="AH8">
        <v>77058</v>
      </c>
      <c r="AI8" t="s">
        <v>67</v>
      </c>
      <c r="AK8" t="s">
        <v>3556</v>
      </c>
      <c r="AL8" t="s">
        <v>3612</v>
      </c>
      <c r="AM8" t="s">
        <v>3527</v>
      </c>
      <c r="AN8" t="s">
        <v>3613</v>
      </c>
      <c r="AO8" t="s">
        <v>3614</v>
      </c>
      <c r="AP8">
        <v>67194</v>
      </c>
      <c r="AQ8" t="s">
        <v>1423</v>
      </c>
      <c r="AR8" t="s">
        <v>3615</v>
      </c>
      <c r="AS8">
        <v>43.34</v>
      </c>
      <c r="AT8">
        <v>206785</v>
      </c>
      <c r="AU8">
        <v>120</v>
      </c>
      <c r="AV8">
        <v>0.04</v>
      </c>
      <c r="AW8">
        <v>13472.2</v>
      </c>
      <c r="AX8" t="s">
        <v>3532</v>
      </c>
      <c r="AY8" s="4"/>
      <c r="BT8" s="4"/>
    </row>
    <row r="9" spans="1:218" x14ac:dyDescent="0.25">
      <c r="A9" t="s">
        <v>3616</v>
      </c>
      <c r="B9" t="s">
        <v>3608</v>
      </c>
      <c r="C9" t="s">
        <v>3552</v>
      </c>
      <c r="D9" t="s">
        <v>3518</v>
      </c>
      <c r="E9" t="s">
        <v>3539</v>
      </c>
      <c r="F9" s="14">
        <v>41729</v>
      </c>
      <c r="G9" s="15">
        <v>674</v>
      </c>
      <c r="H9" s="15">
        <v>13472.2</v>
      </c>
      <c r="I9" t="s">
        <v>3609</v>
      </c>
      <c r="J9" s="14">
        <v>41648</v>
      </c>
      <c r="K9" s="14">
        <v>41655</v>
      </c>
      <c r="L9" s="14">
        <v>41670</v>
      </c>
      <c r="M9" s="14">
        <v>41698</v>
      </c>
      <c r="N9" s="15">
        <v>188280.88</v>
      </c>
      <c r="O9" s="14">
        <v>41698</v>
      </c>
      <c r="P9" s="14">
        <v>41710</v>
      </c>
      <c r="Q9" s="14">
        <v>41712</v>
      </c>
      <c r="R9" s="14">
        <v>41711</v>
      </c>
      <c r="S9" s="15"/>
      <c r="T9" t="s">
        <v>3540</v>
      </c>
      <c r="U9" s="15">
        <v>0</v>
      </c>
      <c r="V9" t="s">
        <v>3521</v>
      </c>
      <c r="W9" t="s">
        <v>3554</v>
      </c>
      <c r="X9">
        <v>43.34</v>
      </c>
      <c r="Y9">
        <v>206785</v>
      </c>
      <c r="Z9" s="15">
        <v>13472.2</v>
      </c>
      <c r="AD9" s="4" t="s">
        <v>3610</v>
      </c>
      <c r="AE9" t="s">
        <v>3611</v>
      </c>
      <c r="AF9" t="s">
        <v>22</v>
      </c>
      <c r="AG9" t="s">
        <v>23</v>
      </c>
      <c r="AH9">
        <v>77058</v>
      </c>
      <c r="AI9" t="s">
        <v>67</v>
      </c>
      <c r="AK9" t="s">
        <v>3556</v>
      </c>
      <c r="AL9" t="s">
        <v>3612</v>
      </c>
      <c r="AM9" t="s">
        <v>3527</v>
      </c>
      <c r="AN9" t="s">
        <v>3613</v>
      </c>
      <c r="AO9" t="s">
        <v>3614</v>
      </c>
      <c r="AP9">
        <v>67194</v>
      </c>
      <c r="AQ9" t="s">
        <v>1423</v>
      </c>
      <c r="AR9" t="s">
        <v>3615</v>
      </c>
      <c r="AS9">
        <v>43.34</v>
      </c>
      <c r="AT9">
        <v>206785</v>
      </c>
      <c r="AU9">
        <v>120</v>
      </c>
      <c r="AV9">
        <v>0.04</v>
      </c>
      <c r="AW9">
        <v>13472.2</v>
      </c>
      <c r="AX9" t="s">
        <v>3532</v>
      </c>
      <c r="AY9" s="4"/>
      <c r="BT9" s="4"/>
    </row>
    <row r="10" spans="1:218" x14ac:dyDescent="0.25">
      <c r="A10" t="s">
        <v>3617</v>
      </c>
      <c r="B10" t="s">
        <v>3618</v>
      </c>
      <c r="C10" t="s">
        <v>3619</v>
      </c>
      <c r="D10" t="s">
        <v>3518</v>
      </c>
      <c r="E10" t="s">
        <v>3539</v>
      </c>
      <c r="F10" s="14">
        <v>41685</v>
      </c>
      <c r="G10" s="15">
        <v>624.86</v>
      </c>
      <c r="H10" s="15">
        <v>9730.06</v>
      </c>
      <c r="I10" t="s">
        <v>3609</v>
      </c>
      <c r="J10" s="14">
        <v>41648</v>
      </c>
      <c r="K10" s="14">
        <v>42005</v>
      </c>
      <c r="L10" s="14">
        <v>42009</v>
      </c>
      <c r="M10" s="14"/>
      <c r="N10" s="15"/>
      <c r="O10" s="14"/>
      <c r="P10" s="14"/>
      <c r="Q10" s="14"/>
      <c r="R10" s="14"/>
      <c r="S10" s="15">
        <v>9730.6</v>
      </c>
      <c r="T10" t="s">
        <v>3540</v>
      </c>
      <c r="U10" s="15">
        <v>0</v>
      </c>
      <c r="V10" t="s">
        <v>3620</v>
      </c>
      <c r="W10" t="s">
        <v>3621</v>
      </c>
      <c r="X10">
        <v>19.399999999999999</v>
      </c>
      <c r="Y10">
        <v>147267</v>
      </c>
      <c r="Z10" s="15">
        <v>9730.06</v>
      </c>
      <c r="AD10" s="4" t="s">
        <v>3622</v>
      </c>
      <c r="AE10" t="s">
        <v>3623</v>
      </c>
      <c r="AF10" t="s">
        <v>22</v>
      </c>
      <c r="AG10" t="s">
        <v>23</v>
      </c>
      <c r="AH10">
        <v>77041</v>
      </c>
      <c r="AI10" t="s">
        <v>67</v>
      </c>
      <c r="AK10" t="s">
        <v>3556</v>
      </c>
      <c r="AL10" t="s">
        <v>3618</v>
      </c>
      <c r="AM10" t="s">
        <v>3527</v>
      </c>
      <c r="AN10" t="s">
        <v>3604</v>
      </c>
      <c r="AO10" t="s">
        <v>3624</v>
      </c>
      <c r="AP10">
        <v>100000</v>
      </c>
      <c r="AQ10" t="s">
        <v>3625</v>
      </c>
      <c r="AR10" t="s">
        <v>413</v>
      </c>
      <c r="AS10">
        <v>15.11</v>
      </c>
      <c r="AT10">
        <v>119135</v>
      </c>
      <c r="AU10">
        <v>120</v>
      </c>
      <c r="AV10">
        <v>0.04</v>
      </c>
      <c r="AW10">
        <v>6578.6</v>
      </c>
      <c r="AX10" t="s">
        <v>3532</v>
      </c>
      <c r="AY10" s="4" t="s">
        <v>3622</v>
      </c>
      <c r="AZ10" t="s">
        <v>3623</v>
      </c>
      <c r="BA10" t="s">
        <v>22</v>
      </c>
      <c r="BB10" t="s">
        <v>23</v>
      </c>
      <c r="BC10">
        <v>77041</v>
      </c>
      <c r="BD10" t="s">
        <v>67</v>
      </c>
      <c r="BF10" t="s">
        <v>3545</v>
      </c>
      <c r="BG10" t="s">
        <v>3618</v>
      </c>
      <c r="BH10" t="s">
        <v>3527</v>
      </c>
      <c r="BI10" t="s">
        <v>3546</v>
      </c>
      <c r="BJ10" t="s">
        <v>3624</v>
      </c>
      <c r="BK10">
        <v>100000</v>
      </c>
      <c r="BL10" t="s">
        <v>3625</v>
      </c>
      <c r="BM10" t="s">
        <v>413</v>
      </c>
      <c r="BN10">
        <v>4.29</v>
      </c>
      <c r="BO10">
        <v>28132</v>
      </c>
      <c r="BP10">
        <v>210</v>
      </c>
      <c r="BQ10">
        <v>0.08</v>
      </c>
      <c r="BR10">
        <v>3151.46</v>
      </c>
      <c r="BS10" t="s">
        <v>3532</v>
      </c>
      <c r="BT10" s="4"/>
    </row>
    <row r="11" spans="1:218" x14ac:dyDescent="0.25">
      <c r="A11" t="s">
        <v>3626</v>
      </c>
      <c r="B11" t="s">
        <v>3618</v>
      </c>
      <c r="C11" t="s">
        <v>3619</v>
      </c>
      <c r="D11" t="s">
        <v>3518</v>
      </c>
      <c r="E11" t="s">
        <v>3539</v>
      </c>
      <c r="F11" s="14">
        <v>41685</v>
      </c>
      <c r="G11" s="15">
        <v>624.86</v>
      </c>
      <c r="H11" s="15">
        <v>9730.06</v>
      </c>
      <c r="I11" t="s">
        <v>3609</v>
      </c>
      <c r="J11" s="14">
        <v>41648</v>
      </c>
      <c r="K11" s="14"/>
      <c r="L11" s="14"/>
      <c r="M11" s="14"/>
      <c r="N11" s="15"/>
      <c r="O11" s="14"/>
      <c r="P11" s="14"/>
      <c r="Q11" s="14"/>
      <c r="R11" s="14"/>
      <c r="S11" s="15"/>
      <c r="T11" t="s">
        <v>3540</v>
      </c>
      <c r="U11" s="15">
        <v>0</v>
      </c>
      <c r="V11" t="s">
        <v>3521</v>
      </c>
      <c r="W11" t="s">
        <v>3621</v>
      </c>
      <c r="X11">
        <v>19.399999999999999</v>
      </c>
      <c r="Y11">
        <v>147267</v>
      </c>
      <c r="Z11" s="15">
        <v>9730.06</v>
      </c>
      <c r="AD11" s="4" t="s">
        <v>3622</v>
      </c>
      <c r="AE11" t="s">
        <v>3623</v>
      </c>
      <c r="AF11" t="s">
        <v>22</v>
      </c>
      <c r="AG11" t="s">
        <v>23</v>
      </c>
      <c r="AH11">
        <v>77041</v>
      </c>
      <c r="AI11" t="s">
        <v>67</v>
      </c>
      <c r="AK11" t="s">
        <v>3556</v>
      </c>
      <c r="AL11" t="s">
        <v>3618</v>
      </c>
      <c r="AM11" t="s">
        <v>3527</v>
      </c>
      <c r="AN11" t="s">
        <v>3604</v>
      </c>
      <c r="AO11" t="s">
        <v>3624</v>
      </c>
      <c r="AP11">
        <v>100000</v>
      </c>
      <c r="AQ11" t="s">
        <v>3625</v>
      </c>
      <c r="AR11" t="s">
        <v>413</v>
      </c>
      <c r="AS11">
        <v>15.11</v>
      </c>
      <c r="AT11">
        <v>119135</v>
      </c>
      <c r="AU11">
        <v>120</v>
      </c>
      <c r="AV11">
        <v>0.04</v>
      </c>
      <c r="AW11">
        <v>6578.6</v>
      </c>
      <c r="AX11" t="s">
        <v>3532</v>
      </c>
      <c r="AY11" s="4" t="s">
        <v>3622</v>
      </c>
      <c r="AZ11" t="s">
        <v>3623</v>
      </c>
      <c r="BA11" t="s">
        <v>22</v>
      </c>
      <c r="BB11" t="s">
        <v>23</v>
      </c>
      <c r="BC11">
        <v>77041</v>
      </c>
      <c r="BD11" t="s">
        <v>67</v>
      </c>
      <c r="BF11" t="s">
        <v>3545</v>
      </c>
      <c r="BG11" t="s">
        <v>3618</v>
      </c>
      <c r="BH11" t="s">
        <v>3527</v>
      </c>
      <c r="BI11" t="s">
        <v>3546</v>
      </c>
      <c r="BJ11" t="s">
        <v>3624</v>
      </c>
      <c r="BK11">
        <v>100000</v>
      </c>
      <c r="BL11" t="s">
        <v>3625</v>
      </c>
      <c r="BM11" t="s">
        <v>413</v>
      </c>
      <c r="BN11">
        <v>4.29</v>
      </c>
      <c r="BO11">
        <v>28132</v>
      </c>
      <c r="BP11">
        <v>210</v>
      </c>
      <c r="BQ11">
        <v>0.08</v>
      </c>
      <c r="BR11">
        <v>3151.46</v>
      </c>
      <c r="BS11" t="s">
        <v>3532</v>
      </c>
      <c r="BT11" s="4"/>
    </row>
    <row r="12" spans="1:218" x14ac:dyDescent="0.25">
      <c r="A12" t="s">
        <v>3627</v>
      </c>
      <c r="B12" t="s">
        <v>3618</v>
      </c>
      <c r="C12" t="s">
        <v>3619</v>
      </c>
      <c r="D12" t="s">
        <v>3518</v>
      </c>
      <c r="E12" t="s">
        <v>3539</v>
      </c>
      <c r="F12" s="14">
        <v>41685</v>
      </c>
      <c r="G12" s="15">
        <v>624.86</v>
      </c>
      <c r="H12" s="15">
        <v>9730.06</v>
      </c>
      <c r="I12" t="s">
        <v>3609</v>
      </c>
      <c r="J12" s="14">
        <v>41648</v>
      </c>
      <c r="K12" s="14"/>
      <c r="L12" s="14"/>
      <c r="M12" s="14"/>
      <c r="N12" s="15"/>
      <c r="O12" s="14"/>
      <c r="P12" s="14"/>
      <c r="Q12" s="14"/>
      <c r="R12" s="14"/>
      <c r="S12" s="15"/>
      <c r="T12" t="s">
        <v>3540</v>
      </c>
      <c r="U12" s="15">
        <v>0</v>
      </c>
      <c r="V12" t="s">
        <v>3521</v>
      </c>
      <c r="W12" t="s">
        <v>3621</v>
      </c>
      <c r="X12">
        <v>19.399999999999999</v>
      </c>
      <c r="Y12">
        <v>147267</v>
      </c>
      <c r="Z12" s="15">
        <v>9730.06</v>
      </c>
      <c r="AD12" s="4" t="s">
        <v>3622</v>
      </c>
      <c r="AE12" t="s">
        <v>3623</v>
      </c>
      <c r="AF12" t="s">
        <v>22</v>
      </c>
      <c r="AG12" t="s">
        <v>23</v>
      </c>
      <c r="AH12">
        <v>77041</v>
      </c>
      <c r="AI12" t="s">
        <v>67</v>
      </c>
      <c r="AK12" t="s">
        <v>3556</v>
      </c>
      <c r="AL12" t="s">
        <v>3618</v>
      </c>
      <c r="AM12" t="s">
        <v>3527</v>
      </c>
      <c r="AN12" t="s">
        <v>3604</v>
      </c>
      <c r="AO12" t="s">
        <v>3624</v>
      </c>
      <c r="AP12">
        <v>100000</v>
      </c>
      <c r="AQ12" t="s">
        <v>3625</v>
      </c>
      <c r="AR12" t="s">
        <v>413</v>
      </c>
      <c r="AS12">
        <v>15.11</v>
      </c>
      <c r="AT12">
        <v>119135</v>
      </c>
      <c r="AU12">
        <v>120</v>
      </c>
      <c r="AV12">
        <v>0.04</v>
      </c>
      <c r="AW12">
        <v>6578.6</v>
      </c>
      <c r="AX12" t="s">
        <v>3532</v>
      </c>
      <c r="AY12" s="4" t="s">
        <v>3622</v>
      </c>
      <c r="AZ12" t="s">
        <v>3623</v>
      </c>
      <c r="BA12" t="s">
        <v>22</v>
      </c>
      <c r="BB12" t="s">
        <v>23</v>
      </c>
      <c r="BC12">
        <v>77041</v>
      </c>
      <c r="BD12" t="s">
        <v>67</v>
      </c>
      <c r="BF12" t="s">
        <v>3545</v>
      </c>
      <c r="BG12" t="s">
        <v>3618</v>
      </c>
      <c r="BH12" t="s">
        <v>3527</v>
      </c>
      <c r="BI12" t="s">
        <v>3546</v>
      </c>
      <c r="BJ12" t="s">
        <v>3624</v>
      </c>
      <c r="BK12">
        <v>100000</v>
      </c>
      <c r="BL12" t="s">
        <v>3625</v>
      </c>
      <c r="BM12" t="s">
        <v>413</v>
      </c>
      <c r="BN12">
        <v>4.29</v>
      </c>
      <c r="BO12">
        <v>28132</v>
      </c>
      <c r="BP12">
        <v>210</v>
      </c>
      <c r="BQ12">
        <v>0.08</v>
      </c>
      <c r="BR12">
        <v>3151.46</v>
      </c>
      <c r="BS12" t="s">
        <v>3532</v>
      </c>
      <c r="BT12" s="4"/>
    </row>
    <row r="13" spans="1:218" x14ac:dyDescent="0.25">
      <c r="A13" t="s">
        <v>3628</v>
      </c>
      <c r="B13" t="s">
        <v>3574</v>
      </c>
      <c r="C13" t="s">
        <v>3575</v>
      </c>
      <c r="D13" t="s">
        <v>3553</v>
      </c>
      <c r="E13" t="s">
        <v>3576</v>
      </c>
      <c r="F13" s="14">
        <v>41698</v>
      </c>
      <c r="G13" s="15">
        <v>1426.45</v>
      </c>
      <c r="H13" s="15">
        <v>27326.18</v>
      </c>
      <c r="I13" t="s">
        <v>3520</v>
      </c>
      <c r="J13" s="14">
        <v>41655</v>
      </c>
      <c r="K13" s="14">
        <v>1</v>
      </c>
      <c r="L13" s="14">
        <v>41675</v>
      </c>
      <c r="M13" s="14">
        <v>41725</v>
      </c>
      <c r="N13" s="15">
        <v>487987.04</v>
      </c>
      <c r="O13" s="14">
        <v>41725</v>
      </c>
      <c r="P13" s="14">
        <v>41759</v>
      </c>
      <c r="Q13" s="14">
        <v>41760</v>
      </c>
      <c r="R13" s="14">
        <v>1</v>
      </c>
      <c r="S13" s="15">
        <v>30588</v>
      </c>
      <c r="T13" t="s">
        <v>3540</v>
      </c>
      <c r="U13" s="15">
        <v>0</v>
      </c>
      <c r="V13" t="s">
        <v>3521</v>
      </c>
      <c r="W13" t="s">
        <v>3578</v>
      </c>
      <c r="X13">
        <v>93.71</v>
      </c>
      <c r="Y13">
        <v>274140</v>
      </c>
      <c r="Z13" s="15">
        <v>30588</v>
      </c>
      <c r="AD13" s="4" t="s">
        <v>3579</v>
      </c>
      <c r="AE13" t="s">
        <v>3580</v>
      </c>
      <c r="AF13" t="s">
        <v>22</v>
      </c>
      <c r="AG13" t="s">
        <v>23</v>
      </c>
      <c r="AH13">
        <v>77070</v>
      </c>
      <c r="AI13" t="s">
        <v>67</v>
      </c>
      <c r="AK13" t="s">
        <v>3556</v>
      </c>
      <c r="AL13" t="s">
        <v>3581</v>
      </c>
      <c r="AM13" t="s">
        <v>3527</v>
      </c>
      <c r="AN13" t="s">
        <v>3582</v>
      </c>
      <c r="AO13" t="s">
        <v>3583</v>
      </c>
      <c r="AP13">
        <v>29258</v>
      </c>
      <c r="AQ13" t="s">
        <v>3584</v>
      </c>
      <c r="AR13" t="s">
        <v>3585</v>
      </c>
      <c r="AS13">
        <v>13.89</v>
      </c>
      <c r="AT13">
        <v>58578</v>
      </c>
      <c r="AU13">
        <v>120</v>
      </c>
      <c r="AV13">
        <v>0.04</v>
      </c>
      <c r="AW13">
        <v>4009.92</v>
      </c>
      <c r="AX13" t="s">
        <v>3586</v>
      </c>
      <c r="AY13" s="4" t="s">
        <v>3587</v>
      </c>
      <c r="AZ13" t="s">
        <v>3588</v>
      </c>
      <c r="BA13" t="s">
        <v>22</v>
      </c>
      <c r="BB13" t="s">
        <v>23</v>
      </c>
      <c r="BC13">
        <v>77070</v>
      </c>
      <c r="BD13" t="s">
        <v>67</v>
      </c>
      <c r="BF13" t="s">
        <v>3556</v>
      </c>
      <c r="BG13" t="s">
        <v>3589</v>
      </c>
      <c r="BH13" t="s">
        <v>3527</v>
      </c>
      <c r="BI13" t="s">
        <v>3590</v>
      </c>
      <c r="BJ13" t="s">
        <v>3583</v>
      </c>
      <c r="BK13">
        <v>44987</v>
      </c>
      <c r="BL13" t="s">
        <v>3584</v>
      </c>
      <c r="BM13" t="s">
        <v>3585</v>
      </c>
      <c r="BN13">
        <v>27.56</v>
      </c>
      <c r="BO13">
        <v>107235</v>
      </c>
      <c r="BP13">
        <v>120</v>
      </c>
      <c r="BQ13">
        <v>0.04</v>
      </c>
      <c r="BR13">
        <v>7596.5999999999995</v>
      </c>
      <c r="BS13" t="s">
        <v>3586</v>
      </c>
      <c r="BT13" s="4" t="s">
        <v>3591</v>
      </c>
      <c r="BU13" t="s">
        <v>3592</v>
      </c>
      <c r="BV13" t="s">
        <v>22</v>
      </c>
      <c r="BW13" t="s">
        <v>23</v>
      </c>
      <c r="BX13">
        <v>77070</v>
      </c>
      <c r="BY13" t="s">
        <v>67</v>
      </c>
      <c r="CA13" t="s">
        <v>3556</v>
      </c>
      <c r="CB13" t="s">
        <v>3593</v>
      </c>
      <c r="CC13" t="s">
        <v>3527</v>
      </c>
      <c r="CD13" t="s">
        <v>3582</v>
      </c>
      <c r="CE13" t="s">
        <v>3583</v>
      </c>
      <c r="CF13">
        <v>18300</v>
      </c>
      <c r="CG13" t="s">
        <v>3584</v>
      </c>
      <c r="CH13" t="s">
        <v>3585</v>
      </c>
      <c r="CI13">
        <v>10.01</v>
      </c>
      <c r="CJ13">
        <v>42183</v>
      </c>
      <c r="CK13">
        <v>120</v>
      </c>
      <c r="CL13">
        <v>0.04</v>
      </c>
      <c r="CM13">
        <v>2888.52</v>
      </c>
      <c r="CN13" t="s">
        <v>3586</v>
      </c>
      <c r="CO13" s="4" t="s">
        <v>3579</v>
      </c>
      <c r="CP13" t="s">
        <v>3580</v>
      </c>
      <c r="CQ13" t="s">
        <v>22</v>
      </c>
      <c r="CR13" t="s">
        <v>23</v>
      </c>
      <c r="CS13">
        <v>77070</v>
      </c>
      <c r="CT13" t="s">
        <v>67</v>
      </c>
      <c r="CV13" t="s">
        <v>3594</v>
      </c>
      <c r="CW13" t="s">
        <v>3581</v>
      </c>
      <c r="CX13" t="s">
        <v>3527</v>
      </c>
      <c r="CY13" t="s">
        <v>3582</v>
      </c>
      <c r="CZ13" t="s">
        <v>3583</v>
      </c>
      <c r="DA13">
        <v>29258</v>
      </c>
      <c r="DB13" t="s">
        <v>3584</v>
      </c>
      <c r="DC13" t="s">
        <v>3585</v>
      </c>
      <c r="DD13">
        <v>9.41</v>
      </c>
      <c r="DE13">
        <v>14736</v>
      </c>
      <c r="DF13">
        <v>240</v>
      </c>
      <c r="DG13">
        <v>0.09</v>
      </c>
      <c r="DH13">
        <v>3584.6400000000003</v>
      </c>
      <c r="DI13" t="s">
        <v>3586</v>
      </c>
      <c r="DJ13" s="4" t="s">
        <v>3587</v>
      </c>
      <c r="DK13" t="s">
        <v>3588</v>
      </c>
      <c r="DL13" t="s">
        <v>22</v>
      </c>
      <c r="DM13" t="s">
        <v>23</v>
      </c>
      <c r="DN13">
        <v>77070</v>
      </c>
      <c r="DO13" t="s">
        <v>67</v>
      </c>
      <c r="DQ13" t="s">
        <v>3594</v>
      </c>
      <c r="DR13" t="s">
        <v>3589</v>
      </c>
      <c r="DS13" t="s">
        <v>3527</v>
      </c>
      <c r="DT13" t="s">
        <v>3590</v>
      </c>
      <c r="DU13" t="s">
        <v>3583</v>
      </c>
      <c r="DV13">
        <v>44987</v>
      </c>
      <c r="DW13" t="s">
        <v>3584</v>
      </c>
      <c r="DX13" t="s">
        <v>3585</v>
      </c>
      <c r="DY13">
        <v>26.32</v>
      </c>
      <c r="DZ13">
        <v>41207</v>
      </c>
      <c r="EA13">
        <v>240</v>
      </c>
      <c r="EB13">
        <v>0.09</v>
      </c>
      <c r="EC13">
        <v>10025.43</v>
      </c>
      <c r="ED13" t="s">
        <v>3586</v>
      </c>
      <c r="EE13" s="4" t="s">
        <v>3591</v>
      </c>
      <c r="EF13" t="s">
        <v>3592</v>
      </c>
      <c r="EG13" t="s">
        <v>22</v>
      </c>
      <c r="EH13" t="s">
        <v>23</v>
      </c>
      <c r="EI13">
        <v>77070</v>
      </c>
      <c r="EJ13" t="s">
        <v>67</v>
      </c>
      <c r="EL13" t="s">
        <v>3594</v>
      </c>
      <c r="EM13" t="s">
        <v>3593</v>
      </c>
      <c r="EN13" t="s">
        <v>3527</v>
      </c>
      <c r="EO13" t="s">
        <v>3582</v>
      </c>
      <c r="EP13" t="s">
        <v>3583</v>
      </c>
      <c r="EQ13">
        <v>18300</v>
      </c>
      <c r="ER13" t="s">
        <v>3584</v>
      </c>
      <c r="ES13" t="s">
        <v>3585</v>
      </c>
      <c r="ET13">
        <v>6.52</v>
      </c>
      <c r="EU13">
        <v>10201</v>
      </c>
      <c r="EV13">
        <v>240</v>
      </c>
      <c r="EW13">
        <v>0.09</v>
      </c>
      <c r="EX13">
        <v>2482.89</v>
      </c>
      <c r="EY13" t="s">
        <v>3586</v>
      </c>
    </row>
    <row r="14" spans="1:218" x14ac:dyDescent="0.25">
      <c r="A14" t="s">
        <v>3629</v>
      </c>
      <c r="B14" t="s">
        <v>3630</v>
      </c>
      <c r="C14" t="s">
        <v>3631</v>
      </c>
      <c r="D14" t="s">
        <v>3518</v>
      </c>
      <c r="E14" t="s">
        <v>3519</v>
      </c>
      <c r="F14" s="14">
        <v>41744</v>
      </c>
      <c r="G14" s="15">
        <v>1637.09</v>
      </c>
      <c r="H14" s="15">
        <v>32739.26</v>
      </c>
      <c r="I14" t="s">
        <v>3520</v>
      </c>
      <c r="J14" s="14">
        <v>41648</v>
      </c>
      <c r="K14" s="14">
        <v>41652</v>
      </c>
      <c r="L14" s="14">
        <v>41674</v>
      </c>
      <c r="M14" s="14">
        <v>41746</v>
      </c>
      <c r="N14" s="15">
        <v>192375.96</v>
      </c>
      <c r="O14" s="14">
        <v>41746</v>
      </c>
      <c r="P14" s="14">
        <v>41750</v>
      </c>
      <c r="Q14" s="14">
        <v>41761</v>
      </c>
      <c r="R14" s="14">
        <v>1</v>
      </c>
      <c r="S14" s="15">
        <v>32739.26</v>
      </c>
      <c r="T14" t="s">
        <v>3540</v>
      </c>
      <c r="U14" s="15">
        <v>0</v>
      </c>
      <c r="V14" t="s">
        <v>3541</v>
      </c>
      <c r="W14" t="s">
        <v>3632</v>
      </c>
      <c r="X14">
        <v>17.98</v>
      </c>
      <c r="Y14">
        <v>47919</v>
      </c>
      <c r="Z14" s="15">
        <v>9945.89</v>
      </c>
      <c r="AD14" s="4" t="s">
        <v>3633</v>
      </c>
      <c r="AE14" t="s">
        <v>3634</v>
      </c>
      <c r="AF14" t="s">
        <v>22</v>
      </c>
      <c r="AG14" t="s">
        <v>23</v>
      </c>
      <c r="AH14">
        <v>77030</v>
      </c>
      <c r="AI14" t="s">
        <v>67</v>
      </c>
      <c r="AK14" t="s">
        <v>3525</v>
      </c>
      <c r="AL14" t="s">
        <v>3635</v>
      </c>
      <c r="AM14" t="s">
        <v>3527</v>
      </c>
      <c r="AN14" t="s">
        <v>3532</v>
      </c>
      <c r="AO14" t="s">
        <v>3636</v>
      </c>
      <c r="AP14">
        <v>134910</v>
      </c>
      <c r="AQ14" t="s">
        <v>3637</v>
      </c>
      <c r="AR14" t="s">
        <v>3638</v>
      </c>
      <c r="AS14">
        <v>17.98</v>
      </c>
      <c r="AT14">
        <v>47919</v>
      </c>
      <c r="AU14">
        <v>260</v>
      </c>
      <c r="AV14">
        <v>0.11</v>
      </c>
      <c r="AW14">
        <v>9945.89</v>
      </c>
      <c r="AX14" t="s">
        <v>3532</v>
      </c>
      <c r="AY14" s="4"/>
      <c r="BT14" s="4"/>
    </row>
    <row r="15" spans="1:218" x14ac:dyDescent="0.25">
      <c r="A15" t="s">
        <v>3639</v>
      </c>
      <c r="B15" t="s">
        <v>3640</v>
      </c>
      <c r="C15" t="s">
        <v>3641</v>
      </c>
      <c r="D15" t="s">
        <v>3518</v>
      </c>
      <c r="E15" t="s">
        <v>3539</v>
      </c>
      <c r="F15" s="14">
        <v>41713</v>
      </c>
      <c r="G15" s="15">
        <v>0</v>
      </c>
      <c r="H15" s="15">
        <v>20759.34</v>
      </c>
      <c r="I15" t="s">
        <v>3609</v>
      </c>
      <c r="J15" s="14">
        <v>41669</v>
      </c>
      <c r="K15" s="14">
        <v>41680</v>
      </c>
      <c r="L15" s="14">
        <v>41682</v>
      </c>
      <c r="M15" s="14">
        <v>41760</v>
      </c>
      <c r="N15" s="15">
        <v>49584.76</v>
      </c>
      <c r="O15" s="14">
        <v>41760</v>
      </c>
      <c r="P15" s="14">
        <v>41764</v>
      </c>
      <c r="Q15" s="14">
        <v>41766</v>
      </c>
      <c r="R15" s="14">
        <v>1</v>
      </c>
      <c r="S15" s="15">
        <v>21127.8</v>
      </c>
      <c r="T15" t="s">
        <v>3540</v>
      </c>
      <c r="U15" s="15">
        <v>0</v>
      </c>
      <c r="V15" t="s">
        <v>3541</v>
      </c>
      <c r="W15" t="s">
        <v>3642</v>
      </c>
      <c r="X15">
        <v>41.48</v>
      </c>
      <c r="Y15">
        <v>175033</v>
      </c>
      <c r="Z15" s="15">
        <v>22713.439999999999</v>
      </c>
      <c r="AD15" s="4" t="s">
        <v>3643</v>
      </c>
      <c r="AE15" t="s">
        <v>3644</v>
      </c>
      <c r="AF15" t="s">
        <v>2359</v>
      </c>
      <c r="AG15" t="s">
        <v>23</v>
      </c>
      <c r="AH15">
        <v>77598</v>
      </c>
      <c r="AI15" t="s">
        <v>67</v>
      </c>
      <c r="AK15" t="s">
        <v>3545</v>
      </c>
      <c r="AL15" t="s">
        <v>3645</v>
      </c>
      <c r="AM15" t="s">
        <v>3527</v>
      </c>
      <c r="AN15" t="s">
        <v>3582</v>
      </c>
      <c r="AO15" t="s">
        <v>1009</v>
      </c>
      <c r="AP15">
        <v>1700</v>
      </c>
      <c r="AQ15" t="s">
        <v>3646</v>
      </c>
      <c r="AR15" t="s">
        <v>3647</v>
      </c>
      <c r="AS15">
        <v>2.4900000000000002</v>
      </c>
      <c r="AT15">
        <v>10491</v>
      </c>
      <c r="AU15">
        <v>210</v>
      </c>
      <c r="AV15">
        <v>0.08</v>
      </c>
      <c r="AW15">
        <v>1362.18</v>
      </c>
      <c r="AX15" t="s">
        <v>3586</v>
      </c>
      <c r="AY15" s="4" t="s">
        <v>3648</v>
      </c>
      <c r="AZ15" t="s">
        <v>3649</v>
      </c>
      <c r="BA15" t="s">
        <v>2890</v>
      </c>
      <c r="BB15" t="s">
        <v>23</v>
      </c>
      <c r="BC15">
        <v>77479</v>
      </c>
      <c r="BD15" t="s">
        <v>3650</v>
      </c>
      <c r="BF15" t="s">
        <v>3545</v>
      </c>
      <c r="BG15" t="s">
        <v>3645</v>
      </c>
      <c r="BH15" t="s">
        <v>3527</v>
      </c>
      <c r="BI15" t="s">
        <v>3582</v>
      </c>
      <c r="BJ15" t="s">
        <v>1009</v>
      </c>
      <c r="BK15">
        <v>1700</v>
      </c>
      <c r="BL15" t="s">
        <v>3646</v>
      </c>
      <c r="BM15" t="s">
        <v>3647</v>
      </c>
      <c r="BN15">
        <v>3.1</v>
      </c>
      <c r="BO15">
        <v>13039</v>
      </c>
      <c r="BP15">
        <v>210</v>
      </c>
      <c r="BQ15">
        <v>0.08</v>
      </c>
      <c r="BR15">
        <v>1694.1200000000001</v>
      </c>
      <c r="BS15" t="s">
        <v>3586</v>
      </c>
      <c r="BT15" s="4" t="s">
        <v>3651</v>
      </c>
      <c r="BU15" t="s">
        <v>3652</v>
      </c>
      <c r="BV15" t="s">
        <v>22</v>
      </c>
      <c r="BW15" t="s">
        <v>23</v>
      </c>
      <c r="BX15">
        <v>77070</v>
      </c>
      <c r="BY15" t="s">
        <v>67</v>
      </c>
      <c r="CA15" t="s">
        <v>3545</v>
      </c>
      <c r="CB15" t="s">
        <v>3645</v>
      </c>
      <c r="CC15" t="s">
        <v>3527</v>
      </c>
      <c r="CD15" t="s">
        <v>3582</v>
      </c>
      <c r="CE15" t="s">
        <v>1009</v>
      </c>
      <c r="CF15">
        <v>1700</v>
      </c>
      <c r="CG15" t="s">
        <v>3646</v>
      </c>
      <c r="CH15" t="s">
        <v>3647</v>
      </c>
      <c r="CI15">
        <v>7.02</v>
      </c>
      <c r="CJ15">
        <v>29526</v>
      </c>
      <c r="CK15">
        <v>210</v>
      </c>
      <c r="CL15">
        <v>0.08</v>
      </c>
      <c r="CM15">
        <v>3836.2799999999997</v>
      </c>
      <c r="CN15" t="s">
        <v>3586</v>
      </c>
      <c r="CO15" s="4" t="s">
        <v>3653</v>
      </c>
      <c r="CP15" t="s">
        <v>3654</v>
      </c>
      <c r="CQ15" t="s">
        <v>22</v>
      </c>
      <c r="CR15" t="s">
        <v>23</v>
      </c>
      <c r="CS15">
        <v>77084</v>
      </c>
      <c r="CT15" t="s">
        <v>67</v>
      </c>
      <c r="CV15" t="s">
        <v>3545</v>
      </c>
      <c r="CW15" t="s">
        <v>3645</v>
      </c>
      <c r="CX15" t="s">
        <v>3527</v>
      </c>
      <c r="CY15" t="s">
        <v>3582</v>
      </c>
      <c r="CZ15" t="s">
        <v>1009</v>
      </c>
      <c r="DA15">
        <v>1700</v>
      </c>
      <c r="DB15" t="s">
        <v>3646</v>
      </c>
      <c r="DC15" t="s">
        <v>3647</v>
      </c>
      <c r="DD15">
        <v>6.59</v>
      </c>
      <c r="DE15">
        <v>27727</v>
      </c>
      <c r="DF15">
        <v>210</v>
      </c>
      <c r="DG15">
        <v>0.08</v>
      </c>
      <c r="DH15">
        <v>3602.0599999999995</v>
      </c>
      <c r="DI15" t="s">
        <v>3586</v>
      </c>
      <c r="DJ15" s="4" t="s">
        <v>3655</v>
      </c>
      <c r="DK15" t="s">
        <v>3656</v>
      </c>
      <c r="DL15" t="s">
        <v>1364</v>
      </c>
      <c r="DM15" t="s">
        <v>23</v>
      </c>
      <c r="DN15">
        <v>77449</v>
      </c>
      <c r="DO15" t="s">
        <v>67</v>
      </c>
      <c r="DQ15" t="s">
        <v>3545</v>
      </c>
      <c r="DR15" t="s">
        <v>3645</v>
      </c>
      <c r="DS15" t="s">
        <v>3527</v>
      </c>
      <c r="DT15" t="s">
        <v>3582</v>
      </c>
      <c r="DU15" t="s">
        <v>1009</v>
      </c>
      <c r="DV15">
        <v>1700</v>
      </c>
      <c r="DW15" t="s">
        <v>3646</v>
      </c>
      <c r="DX15" t="s">
        <v>3647</v>
      </c>
      <c r="DY15">
        <v>6.24</v>
      </c>
      <c r="DZ15">
        <v>26228</v>
      </c>
      <c r="EA15">
        <v>210</v>
      </c>
      <c r="EB15">
        <v>0.08</v>
      </c>
      <c r="EC15">
        <v>3408.6400000000003</v>
      </c>
      <c r="ED15" t="s">
        <v>3586</v>
      </c>
      <c r="EE15" s="4" t="s">
        <v>3657</v>
      </c>
      <c r="EF15" t="s">
        <v>3658</v>
      </c>
      <c r="EG15" t="s">
        <v>372</v>
      </c>
      <c r="EH15" t="s">
        <v>23</v>
      </c>
      <c r="EI15">
        <v>77505</v>
      </c>
      <c r="EJ15" t="s">
        <v>67</v>
      </c>
      <c r="EL15" t="s">
        <v>3545</v>
      </c>
      <c r="EM15" t="s">
        <v>3645</v>
      </c>
      <c r="EN15" t="s">
        <v>3527</v>
      </c>
      <c r="EO15" t="s">
        <v>3582</v>
      </c>
      <c r="EP15" t="s">
        <v>1009</v>
      </c>
      <c r="EQ15">
        <v>1700</v>
      </c>
      <c r="ER15" t="s">
        <v>3646</v>
      </c>
      <c r="ES15" t="s">
        <v>3647</v>
      </c>
      <c r="ET15">
        <v>6.45</v>
      </c>
      <c r="EU15">
        <v>27128</v>
      </c>
      <c r="EV15">
        <v>210</v>
      </c>
      <c r="EW15">
        <v>0.08</v>
      </c>
      <c r="EX15">
        <v>3524.7400000000002</v>
      </c>
      <c r="EY15" t="s">
        <v>3586</v>
      </c>
      <c r="EZ15" s="4" t="s">
        <v>3659</v>
      </c>
      <c r="FA15" t="s">
        <v>3660</v>
      </c>
      <c r="FB15" t="s">
        <v>22</v>
      </c>
      <c r="FC15" t="s">
        <v>23</v>
      </c>
      <c r="FD15">
        <v>77067</v>
      </c>
      <c r="FE15" t="s">
        <v>67</v>
      </c>
      <c r="FG15" t="s">
        <v>3545</v>
      </c>
      <c r="FH15" t="s">
        <v>3645</v>
      </c>
      <c r="FI15" t="s">
        <v>3527</v>
      </c>
      <c r="FJ15" t="s">
        <v>3582</v>
      </c>
      <c r="FK15" t="s">
        <v>1009</v>
      </c>
      <c r="FL15">
        <v>1700</v>
      </c>
      <c r="FM15" t="s">
        <v>3646</v>
      </c>
      <c r="FN15" t="s">
        <v>3647</v>
      </c>
      <c r="FO15">
        <v>3.1</v>
      </c>
      <c r="FP15">
        <v>13039</v>
      </c>
      <c r="FQ15">
        <v>210</v>
      </c>
      <c r="FR15">
        <v>0.08</v>
      </c>
      <c r="FS15">
        <v>1694.1200000000001</v>
      </c>
      <c r="FT15" t="s">
        <v>3586</v>
      </c>
      <c r="FU15" s="4" t="s">
        <v>3661</v>
      </c>
      <c r="FV15" t="s">
        <v>3662</v>
      </c>
      <c r="FW15" t="s">
        <v>22</v>
      </c>
      <c r="FX15" t="s">
        <v>23</v>
      </c>
      <c r="FY15">
        <v>77094</v>
      </c>
      <c r="FZ15" t="s">
        <v>67</v>
      </c>
      <c r="GB15" t="s">
        <v>3545</v>
      </c>
      <c r="GC15" t="s">
        <v>3645</v>
      </c>
      <c r="GD15" t="s">
        <v>3527</v>
      </c>
      <c r="GE15" t="s">
        <v>3582</v>
      </c>
      <c r="GF15" t="s">
        <v>1009</v>
      </c>
      <c r="GG15">
        <v>1700</v>
      </c>
      <c r="GH15" t="s">
        <v>3646</v>
      </c>
      <c r="GI15" t="s">
        <v>3647</v>
      </c>
      <c r="GJ15">
        <v>3.67</v>
      </c>
      <c r="GK15">
        <v>15437</v>
      </c>
      <c r="GL15">
        <v>210</v>
      </c>
      <c r="GM15">
        <v>0.08</v>
      </c>
      <c r="GN15">
        <v>2005.6599999999999</v>
      </c>
      <c r="GO15" t="s">
        <v>3586</v>
      </c>
      <c r="GP15" s="4" t="s">
        <v>3648</v>
      </c>
      <c r="GQ15" t="s">
        <v>3649</v>
      </c>
      <c r="GR15" t="s">
        <v>2890</v>
      </c>
      <c r="GS15" t="s">
        <v>23</v>
      </c>
      <c r="GT15">
        <v>77479</v>
      </c>
      <c r="GU15" t="s">
        <v>3650</v>
      </c>
      <c r="GW15" t="s">
        <v>3545</v>
      </c>
      <c r="GX15" t="s">
        <v>3645</v>
      </c>
      <c r="GY15" t="s">
        <v>3527</v>
      </c>
      <c r="GZ15" t="s">
        <v>3582</v>
      </c>
      <c r="HA15" t="s">
        <v>1009</v>
      </c>
      <c r="HB15">
        <v>1700</v>
      </c>
      <c r="HC15" t="s">
        <v>3646</v>
      </c>
      <c r="HD15" t="s">
        <v>3647</v>
      </c>
      <c r="HE15">
        <v>2.82</v>
      </c>
      <c r="HF15">
        <v>12418</v>
      </c>
      <c r="HG15">
        <v>210</v>
      </c>
      <c r="HH15">
        <v>0.08</v>
      </c>
      <c r="HI15">
        <v>1585.6399999999999</v>
      </c>
      <c r="HJ15" t="s">
        <v>3586</v>
      </c>
    </row>
    <row r="16" spans="1:218" x14ac:dyDescent="0.25">
      <c r="A16" t="s">
        <v>3663</v>
      </c>
      <c r="B16" t="s">
        <v>3664</v>
      </c>
      <c r="C16" t="s">
        <v>3665</v>
      </c>
      <c r="D16" t="s">
        <v>3518</v>
      </c>
      <c r="E16" t="s">
        <v>3539</v>
      </c>
      <c r="F16" s="14">
        <v>41759</v>
      </c>
      <c r="G16" s="15">
        <v>578.26</v>
      </c>
      <c r="H16" s="15">
        <v>11594.92</v>
      </c>
      <c r="I16" t="s">
        <v>3609</v>
      </c>
      <c r="J16" s="14">
        <v>41654</v>
      </c>
      <c r="K16" s="14">
        <v>41659</v>
      </c>
      <c r="L16" s="14">
        <v>41675</v>
      </c>
      <c r="M16" s="14">
        <v>41695</v>
      </c>
      <c r="N16" s="15">
        <v>58368.02</v>
      </c>
      <c r="O16" s="14">
        <v>41682</v>
      </c>
      <c r="P16" s="14">
        <v>41684</v>
      </c>
      <c r="Q16" s="14">
        <v>41702</v>
      </c>
      <c r="R16" s="14">
        <v>41701</v>
      </c>
      <c r="S16" s="15"/>
      <c r="T16" t="s">
        <v>3540</v>
      </c>
      <c r="U16" s="15">
        <v>0</v>
      </c>
      <c r="V16" t="s">
        <v>3620</v>
      </c>
      <c r="W16" t="s">
        <v>3666</v>
      </c>
      <c r="X16">
        <v>31.400000000000002</v>
      </c>
      <c r="Y16">
        <v>147794</v>
      </c>
      <c r="Z16" s="15">
        <v>10771.56</v>
      </c>
      <c r="AD16" s="4" t="s">
        <v>3667</v>
      </c>
      <c r="AE16" t="s">
        <v>3668</v>
      </c>
      <c r="AF16" t="s">
        <v>22</v>
      </c>
      <c r="AG16" t="s">
        <v>23</v>
      </c>
      <c r="AH16">
        <v>77040</v>
      </c>
      <c r="AI16" t="s">
        <v>67</v>
      </c>
      <c r="AK16" t="s">
        <v>3556</v>
      </c>
      <c r="AL16" t="s">
        <v>3664</v>
      </c>
      <c r="AM16" t="s">
        <v>3527</v>
      </c>
      <c r="AN16" t="s">
        <v>3559</v>
      </c>
      <c r="AO16" t="s">
        <v>3669</v>
      </c>
      <c r="AP16">
        <v>60000</v>
      </c>
      <c r="AQ16" t="s">
        <v>3670</v>
      </c>
      <c r="AR16" t="s">
        <v>3671</v>
      </c>
      <c r="AS16">
        <v>28.3</v>
      </c>
      <c r="AT16">
        <v>127474</v>
      </c>
      <c r="AU16">
        <v>120</v>
      </c>
      <c r="AV16">
        <v>0.04</v>
      </c>
      <c r="AW16">
        <v>8494.9599999999991</v>
      </c>
      <c r="AX16" t="s">
        <v>3561</v>
      </c>
      <c r="AY16" s="4" t="s">
        <v>3667</v>
      </c>
      <c r="AZ16" t="s">
        <v>3668</v>
      </c>
      <c r="BA16" t="s">
        <v>22</v>
      </c>
      <c r="BB16" t="s">
        <v>23</v>
      </c>
      <c r="BC16">
        <v>77040</v>
      </c>
      <c r="BD16" t="s">
        <v>67</v>
      </c>
      <c r="BF16" t="s">
        <v>3545</v>
      </c>
      <c r="BG16" t="s">
        <v>3664</v>
      </c>
      <c r="BH16" t="s">
        <v>3527</v>
      </c>
      <c r="BI16" t="s">
        <v>3546</v>
      </c>
      <c r="BJ16" t="s">
        <v>3669</v>
      </c>
      <c r="BK16">
        <v>60000</v>
      </c>
      <c r="BL16" t="s">
        <v>3670</v>
      </c>
      <c r="BM16" t="s">
        <v>3671</v>
      </c>
      <c r="BN16">
        <v>3.1</v>
      </c>
      <c r="BO16">
        <v>20320</v>
      </c>
      <c r="BP16">
        <v>210</v>
      </c>
      <c r="BQ16">
        <v>0.08</v>
      </c>
      <c r="BR16">
        <v>2276.6000000000004</v>
      </c>
      <c r="BS16" t="s">
        <v>3561</v>
      </c>
      <c r="BT16" s="4"/>
    </row>
    <row r="17" spans="1:218" x14ac:dyDescent="0.25">
      <c r="A17" t="s">
        <v>3672</v>
      </c>
      <c r="B17" t="s">
        <v>3673</v>
      </c>
      <c r="C17" t="s">
        <v>3665</v>
      </c>
      <c r="D17" t="s">
        <v>3518</v>
      </c>
      <c r="E17" t="s">
        <v>3539</v>
      </c>
      <c r="F17" s="14">
        <v>41759</v>
      </c>
      <c r="G17" s="15">
        <v>4765.8999999999996</v>
      </c>
      <c r="H17" s="15">
        <v>107519.66</v>
      </c>
      <c r="I17" t="s">
        <v>3520</v>
      </c>
      <c r="J17" s="14">
        <v>41659</v>
      </c>
      <c r="K17" s="14"/>
      <c r="L17" s="14"/>
      <c r="M17" s="14"/>
      <c r="N17" s="15"/>
      <c r="O17" s="14"/>
      <c r="P17" s="14"/>
      <c r="Q17" s="14"/>
      <c r="R17" s="14"/>
      <c r="S17" s="15"/>
      <c r="T17" t="s">
        <v>3540</v>
      </c>
      <c r="U17" s="15">
        <v>0</v>
      </c>
      <c r="V17" t="s">
        <v>3577</v>
      </c>
      <c r="W17" t="s">
        <v>3666</v>
      </c>
      <c r="X17">
        <v>146.47</v>
      </c>
      <c r="Y17">
        <v>959512</v>
      </c>
      <c r="Z17" s="15">
        <v>107519.66</v>
      </c>
      <c r="AD17" s="4" t="s">
        <v>3674</v>
      </c>
      <c r="AE17" t="s">
        <v>3675</v>
      </c>
      <c r="AF17" t="s">
        <v>22</v>
      </c>
      <c r="AG17" t="s">
        <v>23</v>
      </c>
      <c r="AH17">
        <v>77074</v>
      </c>
      <c r="AI17" t="s">
        <v>67</v>
      </c>
      <c r="AK17" t="s">
        <v>3545</v>
      </c>
      <c r="AL17" t="s">
        <v>3676</v>
      </c>
      <c r="AM17" t="s">
        <v>3527</v>
      </c>
      <c r="AN17" t="s">
        <v>3546</v>
      </c>
      <c r="AO17" t="s">
        <v>3677</v>
      </c>
      <c r="AP17">
        <v>100000</v>
      </c>
      <c r="AQ17" t="s">
        <v>3678</v>
      </c>
      <c r="AR17" t="s">
        <v>3679</v>
      </c>
      <c r="AS17">
        <v>146.47</v>
      </c>
      <c r="AT17">
        <v>959512</v>
      </c>
      <c r="AU17">
        <v>210</v>
      </c>
      <c r="AV17">
        <v>0.08</v>
      </c>
      <c r="AW17">
        <v>107519.66</v>
      </c>
      <c r="AX17" t="s">
        <v>3586</v>
      </c>
      <c r="AY17" s="4"/>
      <c r="BT17" s="4"/>
    </row>
    <row r="18" spans="1:218" x14ac:dyDescent="0.25">
      <c r="A18" t="s">
        <v>3680</v>
      </c>
      <c r="B18" t="s">
        <v>3681</v>
      </c>
      <c r="C18" t="s">
        <v>3665</v>
      </c>
      <c r="D18" t="s">
        <v>3518</v>
      </c>
      <c r="E18" t="s">
        <v>3539</v>
      </c>
      <c r="F18" s="14">
        <v>41759</v>
      </c>
      <c r="G18" s="15">
        <v>2339.56</v>
      </c>
      <c r="H18" s="15">
        <v>43847.94</v>
      </c>
      <c r="I18" t="s">
        <v>3520</v>
      </c>
      <c r="J18" s="14">
        <v>41659</v>
      </c>
      <c r="K18" s="14"/>
      <c r="L18" s="14"/>
      <c r="M18" s="14"/>
      <c r="N18" s="15"/>
      <c r="O18" s="14"/>
      <c r="P18" s="14"/>
      <c r="Q18" s="14"/>
      <c r="R18" s="14"/>
      <c r="S18" s="15"/>
      <c r="T18" t="s">
        <v>3540</v>
      </c>
      <c r="U18" s="15">
        <v>0</v>
      </c>
      <c r="V18" t="s">
        <v>3682</v>
      </c>
      <c r="W18" t="s">
        <v>3666</v>
      </c>
      <c r="X18">
        <v>59.73</v>
      </c>
      <c r="Y18">
        <v>391308</v>
      </c>
      <c r="Z18" s="15">
        <v>43847.94</v>
      </c>
      <c r="AD18" s="4" t="s">
        <v>3683</v>
      </c>
      <c r="AE18" t="s">
        <v>3684</v>
      </c>
      <c r="AF18" t="s">
        <v>22</v>
      </c>
      <c r="AG18" t="s">
        <v>23</v>
      </c>
      <c r="AH18">
        <v>77074</v>
      </c>
      <c r="AI18" t="s">
        <v>67</v>
      </c>
      <c r="AK18" t="s">
        <v>3545</v>
      </c>
      <c r="AL18" t="s">
        <v>3685</v>
      </c>
      <c r="AM18" t="s">
        <v>3527</v>
      </c>
      <c r="AN18" t="s">
        <v>3546</v>
      </c>
      <c r="AO18" t="s">
        <v>3686</v>
      </c>
      <c r="AP18">
        <v>100000</v>
      </c>
      <c r="AQ18" t="s">
        <v>3687</v>
      </c>
      <c r="AR18" t="s">
        <v>3688</v>
      </c>
      <c r="AS18">
        <v>59.73</v>
      </c>
      <c r="AT18">
        <v>391308</v>
      </c>
      <c r="AU18">
        <v>210</v>
      </c>
      <c r="AV18">
        <v>0.08</v>
      </c>
      <c r="AW18">
        <v>43847.94</v>
      </c>
      <c r="AX18" t="s">
        <v>3586</v>
      </c>
      <c r="AY18" s="4"/>
      <c r="BT18" s="4"/>
    </row>
    <row r="19" spans="1:218" x14ac:dyDescent="0.25">
      <c r="A19" t="s">
        <v>3689</v>
      </c>
      <c r="B19" t="s">
        <v>3690</v>
      </c>
      <c r="C19" t="s">
        <v>3665</v>
      </c>
      <c r="D19" t="s">
        <v>3518</v>
      </c>
      <c r="E19" t="s">
        <v>3539</v>
      </c>
      <c r="F19" s="14">
        <v>41759</v>
      </c>
      <c r="G19" s="15">
        <v>423.31</v>
      </c>
      <c r="H19" s="15">
        <v>8468.24</v>
      </c>
      <c r="I19" t="s">
        <v>3520</v>
      </c>
      <c r="J19" s="14">
        <v>41660</v>
      </c>
      <c r="K19" s="14">
        <v>41669</v>
      </c>
      <c r="L19" s="14">
        <v>41675</v>
      </c>
      <c r="M19" s="14">
        <v>41682</v>
      </c>
      <c r="N19" s="15">
        <v>49678.09</v>
      </c>
      <c r="O19" s="14">
        <v>41682</v>
      </c>
      <c r="P19" s="14">
        <v>41684</v>
      </c>
      <c r="Q19" s="14">
        <v>41710</v>
      </c>
      <c r="R19" s="14">
        <v>41701</v>
      </c>
      <c r="S19" s="15"/>
      <c r="T19" t="s">
        <v>3540</v>
      </c>
      <c r="U19" s="15">
        <v>0</v>
      </c>
      <c r="V19" t="s">
        <v>3620</v>
      </c>
      <c r="W19" t="s">
        <v>3666</v>
      </c>
      <c r="X19">
        <v>29.46</v>
      </c>
      <c r="Y19">
        <v>111502</v>
      </c>
      <c r="Z19" s="15">
        <v>8753.64</v>
      </c>
      <c r="AD19" s="4" t="s">
        <v>3691</v>
      </c>
      <c r="AE19" t="s">
        <v>3692</v>
      </c>
      <c r="AF19" t="s">
        <v>22</v>
      </c>
      <c r="AG19" t="s">
        <v>23</v>
      </c>
      <c r="AH19">
        <v>77074</v>
      </c>
      <c r="AI19" t="s">
        <v>67</v>
      </c>
      <c r="AK19" t="s">
        <v>3556</v>
      </c>
      <c r="AL19" t="s">
        <v>3693</v>
      </c>
      <c r="AM19" t="s">
        <v>3527</v>
      </c>
      <c r="AN19" t="s">
        <v>3694</v>
      </c>
      <c r="AO19" t="s">
        <v>3677</v>
      </c>
      <c r="AP19">
        <v>55000</v>
      </c>
      <c r="AQ19" t="s">
        <v>3678</v>
      </c>
      <c r="AR19" t="s">
        <v>3695</v>
      </c>
      <c r="AS19">
        <v>26.32</v>
      </c>
      <c r="AT19">
        <v>99608</v>
      </c>
      <c r="AU19">
        <v>120</v>
      </c>
      <c r="AV19">
        <v>0.04</v>
      </c>
      <c r="AW19">
        <v>7142.72</v>
      </c>
      <c r="AX19" t="s">
        <v>3586</v>
      </c>
      <c r="AY19" s="4" t="s">
        <v>3691</v>
      </c>
      <c r="AZ19" t="s">
        <v>3692</v>
      </c>
      <c r="BA19" t="s">
        <v>22</v>
      </c>
      <c r="BB19" t="s">
        <v>23</v>
      </c>
      <c r="BC19">
        <v>77074</v>
      </c>
      <c r="BD19" t="s">
        <v>67</v>
      </c>
      <c r="BF19" t="s">
        <v>3545</v>
      </c>
      <c r="BG19" t="s">
        <v>3693</v>
      </c>
      <c r="BH19" t="s">
        <v>3527</v>
      </c>
      <c r="BI19" t="s">
        <v>3694</v>
      </c>
      <c r="BJ19" t="s">
        <v>3677</v>
      </c>
      <c r="BK19">
        <v>55000</v>
      </c>
      <c r="BL19" t="s">
        <v>3678</v>
      </c>
      <c r="BM19" t="s">
        <v>3695</v>
      </c>
      <c r="BN19">
        <v>3.14</v>
      </c>
      <c r="BO19">
        <v>11894</v>
      </c>
      <c r="BP19">
        <v>210</v>
      </c>
      <c r="BQ19">
        <v>0.08</v>
      </c>
      <c r="BR19">
        <v>1610.92</v>
      </c>
      <c r="BS19" t="s">
        <v>3586</v>
      </c>
      <c r="BT19" s="4"/>
    </row>
    <row r="20" spans="1:218" x14ac:dyDescent="0.25">
      <c r="A20" t="s">
        <v>3696</v>
      </c>
      <c r="B20" t="s">
        <v>3697</v>
      </c>
      <c r="C20" t="s">
        <v>3665</v>
      </c>
      <c r="D20" t="s">
        <v>3518</v>
      </c>
      <c r="E20" t="s">
        <v>3539</v>
      </c>
      <c r="F20" s="14">
        <v>41759</v>
      </c>
      <c r="G20" s="15">
        <v>7254.55</v>
      </c>
      <c r="H20" s="15"/>
      <c r="I20" t="s">
        <v>3609</v>
      </c>
      <c r="J20" s="14">
        <v>41662</v>
      </c>
      <c r="K20" s="14">
        <v>41669</v>
      </c>
      <c r="L20" s="14">
        <v>41675</v>
      </c>
      <c r="M20" s="14">
        <v>41701</v>
      </c>
      <c r="N20" s="15">
        <v>422822.34</v>
      </c>
      <c r="O20" s="14">
        <v>41701</v>
      </c>
      <c r="P20" s="14">
        <v>41709</v>
      </c>
      <c r="Q20" s="14">
        <v>41715</v>
      </c>
      <c r="R20" s="14">
        <v>41708</v>
      </c>
      <c r="S20" s="15"/>
      <c r="T20" t="s">
        <v>3540</v>
      </c>
      <c r="U20" s="15">
        <v>0</v>
      </c>
      <c r="V20" t="s">
        <v>3577</v>
      </c>
      <c r="W20" t="s">
        <v>3666</v>
      </c>
      <c r="X20">
        <v>201.48</v>
      </c>
      <c r="Y20">
        <v>1281995</v>
      </c>
      <c r="Z20" s="15">
        <v>141563.4</v>
      </c>
      <c r="AD20" s="4" t="s">
        <v>3698</v>
      </c>
      <c r="AE20" t="s">
        <v>3699</v>
      </c>
      <c r="AF20" t="s">
        <v>22</v>
      </c>
      <c r="AG20" t="s">
        <v>23</v>
      </c>
      <c r="AH20">
        <v>77074</v>
      </c>
      <c r="AI20" t="s">
        <v>67</v>
      </c>
      <c r="AK20" t="s">
        <v>3545</v>
      </c>
      <c r="AL20" t="s">
        <v>3700</v>
      </c>
      <c r="AM20" t="s">
        <v>3527</v>
      </c>
      <c r="AN20" t="s">
        <v>3546</v>
      </c>
      <c r="AO20" t="s">
        <v>3701</v>
      </c>
      <c r="AP20">
        <v>100000</v>
      </c>
      <c r="AQ20" t="s">
        <v>3702</v>
      </c>
      <c r="AR20" t="s">
        <v>3679</v>
      </c>
      <c r="AS20">
        <v>187.78</v>
      </c>
      <c r="AT20">
        <v>1230145</v>
      </c>
      <c r="AU20">
        <v>210</v>
      </c>
      <c r="AV20">
        <v>0.08</v>
      </c>
      <c r="AW20">
        <v>137845.40000000002</v>
      </c>
      <c r="AX20" t="s">
        <v>3586</v>
      </c>
      <c r="AY20" s="4" t="s">
        <v>3698</v>
      </c>
      <c r="AZ20" t="s">
        <v>3699</v>
      </c>
      <c r="BA20" t="s">
        <v>22</v>
      </c>
      <c r="BB20" t="s">
        <v>23</v>
      </c>
      <c r="BC20">
        <v>77074</v>
      </c>
      <c r="BD20" t="s">
        <v>67</v>
      </c>
      <c r="BF20" t="s">
        <v>3556</v>
      </c>
      <c r="BG20" t="s">
        <v>3700</v>
      </c>
      <c r="BH20" t="s">
        <v>3527</v>
      </c>
      <c r="BI20" t="s">
        <v>3694</v>
      </c>
      <c r="BJ20" t="s">
        <v>3701</v>
      </c>
      <c r="BK20">
        <v>100000</v>
      </c>
      <c r="BL20" t="s">
        <v>3702</v>
      </c>
      <c r="BM20" t="s">
        <v>3679</v>
      </c>
      <c r="BN20">
        <v>13.7</v>
      </c>
      <c r="BO20">
        <v>51850</v>
      </c>
      <c r="BP20">
        <v>120</v>
      </c>
      <c r="BQ20">
        <v>0.04</v>
      </c>
      <c r="BR20">
        <v>3718</v>
      </c>
      <c r="BS20" t="s">
        <v>3586</v>
      </c>
      <c r="BT20" s="4"/>
    </row>
    <row r="21" spans="1:218" x14ac:dyDescent="0.25">
      <c r="A21" t="s">
        <v>3703</v>
      </c>
      <c r="B21" t="s">
        <v>3704</v>
      </c>
      <c r="C21" t="s">
        <v>3665</v>
      </c>
      <c r="D21" t="s">
        <v>3518</v>
      </c>
      <c r="E21" t="s">
        <v>3539</v>
      </c>
      <c r="F21" s="14">
        <v>41759</v>
      </c>
      <c r="G21" s="15">
        <v>765.4</v>
      </c>
      <c r="H21" s="15">
        <v>15878.24</v>
      </c>
      <c r="I21" t="s">
        <v>3609</v>
      </c>
      <c r="J21" s="14">
        <v>41662</v>
      </c>
      <c r="K21" s="14">
        <v>41669</v>
      </c>
      <c r="L21" s="14">
        <v>41675</v>
      </c>
      <c r="M21" s="14">
        <v>41689</v>
      </c>
      <c r="N21" s="15">
        <v>77077.25</v>
      </c>
      <c r="O21" s="14">
        <v>41689</v>
      </c>
      <c r="P21" s="14">
        <v>41691</v>
      </c>
      <c r="Q21" s="14">
        <v>41712</v>
      </c>
      <c r="R21" s="14">
        <v>41701</v>
      </c>
      <c r="S21" s="15"/>
      <c r="T21" t="s">
        <v>3540</v>
      </c>
      <c r="U21" s="15">
        <v>0</v>
      </c>
      <c r="V21" t="s">
        <v>3620</v>
      </c>
      <c r="W21" t="s">
        <v>3666</v>
      </c>
      <c r="X21">
        <v>60.78</v>
      </c>
      <c r="Y21">
        <v>226643</v>
      </c>
      <c r="Z21" s="15">
        <v>16393.16</v>
      </c>
      <c r="AD21" s="4" t="s">
        <v>3705</v>
      </c>
      <c r="AE21" t="s">
        <v>3706</v>
      </c>
      <c r="AF21" t="s">
        <v>3707</v>
      </c>
      <c r="AG21" t="s">
        <v>23</v>
      </c>
      <c r="AH21">
        <v>77469</v>
      </c>
      <c r="AI21" t="s">
        <v>3650</v>
      </c>
      <c r="AK21" t="s">
        <v>3556</v>
      </c>
      <c r="AL21" t="s">
        <v>3708</v>
      </c>
      <c r="AM21" t="s">
        <v>3527</v>
      </c>
      <c r="AN21" t="s">
        <v>3694</v>
      </c>
      <c r="AO21" t="s">
        <v>3709</v>
      </c>
      <c r="AP21">
        <v>55000</v>
      </c>
      <c r="AQ21" t="s">
        <v>3678</v>
      </c>
      <c r="AR21" t="s">
        <v>3679</v>
      </c>
      <c r="AS21">
        <v>60.64</v>
      </c>
      <c r="AT21">
        <v>226112</v>
      </c>
      <c r="AU21">
        <v>120</v>
      </c>
      <c r="AV21">
        <v>0.04</v>
      </c>
      <c r="AW21">
        <v>16321.279999999999</v>
      </c>
      <c r="AX21" t="s">
        <v>3586</v>
      </c>
      <c r="AY21" s="4" t="s">
        <v>3705</v>
      </c>
      <c r="AZ21" t="s">
        <v>3706</v>
      </c>
      <c r="BA21" t="s">
        <v>3707</v>
      </c>
      <c r="BB21" t="s">
        <v>23</v>
      </c>
      <c r="BC21">
        <v>77469</v>
      </c>
      <c r="BD21" t="s">
        <v>3650</v>
      </c>
      <c r="BF21" t="s">
        <v>3545</v>
      </c>
      <c r="BG21" t="s">
        <v>3708</v>
      </c>
      <c r="BH21" t="s">
        <v>3527</v>
      </c>
      <c r="BI21" t="s">
        <v>3694</v>
      </c>
      <c r="BJ21" t="s">
        <v>3709</v>
      </c>
      <c r="BK21">
        <v>55000</v>
      </c>
      <c r="BL21" t="s">
        <v>3678</v>
      </c>
      <c r="BM21" t="s">
        <v>3679</v>
      </c>
      <c r="BN21">
        <v>0.14000000000000001</v>
      </c>
      <c r="BO21">
        <v>531</v>
      </c>
      <c r="BP21">
        <v>210</v>
      </c>
      <c r="BQ21">
        <v>0.08</v>
      </c>
      <c r="BR21">
        <v>71.88000000000001</v>
      </c>
      <c r="BS21" t="s">
        <v>3586</v>
      </c>
      <c r="BT21" s="4"/>
    </row>
    <row r="22" spans="1:218" x14ac:dyDescent="0.25">
      <c r="A22" t="s">
        <v>3710</v>
      </c>
      <c r="B22" t="s">
        <v>3711</v>
      </c>
      <c r="C22" t="s">
        <v>3712</v>
      </c>
      <c r="D22" t="s">
        <v>3518</v>
      </c>
      <c r="E22" t="s">
        <v>3539</v>
      </c>
      <c r="F22" s="14">
        <v>41760</v>
      </c>
      <c r="G22" s="15">
        <v>497.64</v>
      </c>
      <c r="H22" s="15">
        <v>9952.76</v>
      </c>
      <c r="I22" t="s">
        <v>3520</v>
      </c>
      <c r="J22" s="14">
        <v>41675</v>
      </c>
      <c r="K22" s="14">
        <v>41682</v>
      </c>
      <c r="L22" s="14">
        <v>41736</v>
      </c>
      <c r="M22" s="14">
        <v>41750</v>
      </c>
      <c r="N22" s="15">
        <v>126652.5</v>
      </c>
      <c r="O22" s="14">
        <v>41750</v>
      </c>
      <c r="P22" s="14">
        <v>41753</v>
      </c>
      <c r="Q22" s="14">
        <v>41779</v>
      </c>
      <c r="R22" s="14">
        <v>41779</v>
      </c>
      <c r="S22" s="15">
        <v>9952.76</v>
      </c>
      <c r="T22" t="s">
        <v>3540</v>
      </c>
      <c r="U22" s="15">
        <v>0</v>
      </c>
      <c r="V22" t="s">
        <v>3521</v>
      </c>
      <c r="W22" t="s">
        <v>3713</v>
      </c>
      <c r="X22">
        <v>26.05</v>
      </c>
      <c r="Y22">
        <v>170669</v>
      </c>
      <c r="Z22" s="15">
        <v>9952.76</v>
      </c>
      <c r="AD22" s="4" t="s">
        <v>3714</v>
      </c>
      <c r="AE22" t="s">
        <v>3715</v>
      </c>
      <c r="AF22" t="s">
        <v>3716</v>
      </c>
      <c r="AG22" t="s">
        <v>23</v>
      </c>
      <c r="AH22">
        <v>77338</v>
      </c>
      <c r="AI22" t="s">
        <v>67</v>
      </c>
      <c r="AK22" t="s">
        <v>3556</v>
      </c>
      <c r="AL22" t="s">
        <v>3717</v>
      </c>
      <c r="AM22" t="s">
        <v>3527</v>
      </c>
      <c r="AN22" t="s">
        <v>3718</v>
      </c>
      <c r="AO22" t="s">
        <v>3719</v>
      </c>
      <c r="AP22">
        <v>400000</v>
      </c>
      <c r="AQ22" t="s">
        <v>3720</v>
      </c>
      <c r="AR22" t="s">
        <v>3721</v>
      </c>
      <c r="AS22">
        <v>26.05</v>
      </c>
      <c r="AT22">
        <v>170669</v>
      </c>
      <c r="AU22">
        <v>120</v>
      </c>
      <c r="AV22">
        <v>0.04</v>
      </c>
      <c r="AW22">
        <v>9952.76</v>
      </c>
      <c r="AX22" t="s">
        <v>3549</v>
      </c>
      <c r="AY22" s="4"/>
      <c r="BT22" s="4"/>
    </row>
    <row r="23" spans="1:218" x14ac:dyDescent="0.25">
      <c r="A23" t="s">
        <v>3722</v>
      </c>
      <c r="B23" t="s">
        <v>3723</v>
      </c>
      <c r="C23" t="s">
        <v>3724</v>
      </c>
      <c r="D23" t="s">
        <v>3518</v>
      </c>
      <c r="E23" t="s">
        <v>3519</v>
      </c>
      <c r="F23" s="14">
        <v>41729</v>
      </c>
      <c r="G23" s="15">
        <v>1088.52</v>
      </c>
      <c r="H23" s="15">
        <v>22677.5</v>
      </c>
      <c r="I23" t="s">
        <v>3609</v>
      </c>
      <c r="J23" s="14">
        <v>41675</v>
      </c>
      <c r="K23" s="14">
        <v>41680</v>
      </c>
      <c r="L23" s="14">
        <v>41708</v>
      </c>
      <c r="M23" s="14">
        <v>41750</v>
      </c>
      <c r="N23" s="15">
        <v>381040</v>
      </c>
      <c r="O23" s="14">
        <v>41750</v>
      </c>
      <c r="P23" s="14">
        <v>41751</v>
      </c>
      <c r="Q23" s="14">
        <v>41752</v>
      </c>
      <c r="R23" s="14"/>
      <c r="S23" s="15">
        <v>22677.5</v>
      </c>
      <c r="T23" t="s">
        <v>3540</v>
      </c>
      <c r="U23" s="15">
        <v>0</v>
      </c>
      <c r="V23" t="s">
        <v>3521</v>
      </c>
      <c r="W23" t="s">
        <v>3725</v>
      </c>
      <c r="X23">
        <v>21.24</v>
      </c>
      <c r="Y23">
        <v>56587</v>
      </c>
      <c r="Z23" s="15">
        <v>11746.97</v>
      </c>
      <c r="AD23" s="4" t="s">
        <v>3726</v>
      </c>
      <c r="AE23" t="s">
        <v>3727</v>
      </c>
      <c r="AF23" t="s">
        <v>22</v>
      </c>
      <c r="AG23" t="s">
        <v>23</v>
      </c>
      <c r="AH23">
        <v>77057</v>
      </c>
      <c r="AI23" t="s">
        <v>67</v>
      </c>
      <c r="AK23" t="s">
        <v>3525</v>
      </c>
      <c r="AL23" t="s">
        <v>3728</v>
      </c>
      <c r="AM23" t="s">
        <v>3527</v>
      </c>
      <c r="AN23" t="s">
        <v>3532</v>
      </c>
      <c r="AO23" t="s">
        <v>3729</v>
      </c>
      <c r="AP23">
        <v>130090</v>
      </c>
      <c r="AQ23" t="s">
        <v>3730</v>
      </c>
      <c r="AR23" t="s">
        <v>3731</v>
      </c>
      <c r="AS23">
        <v>21.24</v>
      </c>
      <c r="AT23">
        <v>56587</v>
      </c>
      <c r="AU23">
        <v>260</v>
      </c>
      <c r="AV23">
        <v>0.11</v>
      </c>
      <c r="AW23">
        <v>11746.97</v>
      </c>
      <c r="AX23" t="s">
        <v>3532</v>
      </c>
      <c r="AY23" s="4"/>
      <c r="BT23" s="4"/>
    </row>
    <row r="24" spans="1:218" x14ac:dyDescent="0.25">
      <c r="A24" t="s">
        <v>3732</v>
      </c>
      <c r="B24" t="s">
        <v>3733</v>
      </c>
      <c r="C24" t="s">
        <v>3734</v>
      </c>
      <c r="D24" t="s">
        <v>3518</v>
      </c>
      <c r="E24" t="s">
        <v>3539</v>
      </c>
      <c r="F24" s="14">
        <v>41759</v>
      </c>
      <c r="G24" s="15">
        <v>1186</v>
      </c>
      <c r="H24" s="15">
        <v>32273.98</v>
      </c>
      <c r="I24" t="s">
        <v>3609</v>
      </c>
      <c r="J24" s="14">
        <v>41647</v>
      </c>
      <c r="K24" s="14">
        <v>41654</v>
      </c>
      <c r="L24" s="14">
        <v>41677</v>
      </c>
      <c r="M24" s="14">
        <v>41752</v>
      </c>
      <c r="N24" s="15">
        <v>126323.42</v>
      </c>
      <c r="O24" s="14">
        <v>41752</v>
      </c>
      <c r="P24" s="14">
        <v>41758</v>
      </c>
      <c r="Q24" s="14">
        <v>41774</v>
      </c>
      <c r="R24" s="14">
        <v>41772</v>
      </c>
      <c r="S24" s="15">
        <v>32939.519999999997</v>
      </c>
      <c r="T24" t="s">
        <v>3540</v>
      </c>
      <c r="U24" s="15">
        <v>0</v>
      </c>
      <c r="V24" t="s">
        <v>3521</v>
      </c>
      <c r="W24" t="s">
        <v>3735</v>
      </c>
      <c r="X24">
        <v>64.14</v>
      </c>
      <c r="Y24">
        <v>259054</v>
      </c>
      <c r="Z24" s="15">
        <v>32939.519999999997</v>
      </c>
      <c r="AD24" s="4" t="s">
        <v>3736</v>
      </c>
      <c r="AE24" t="s">
        <v>3737</v>
      </c>
      <c r="AF24" t="s">
        <v>22</v>
      </c>
      <c r="AG24" t="s">
        <v>23</v>
      </c>
      <c r="AH24">
        <v>77064</v>
      </c>
      <c r="AI24" t="s">
        <v>67</v>
      </c>
      <c r="AK24" t="s">
        <v>3545</v>
      </c>
      <c r="AL24" t="s">
        <v>3733</v>
      </c>
      <c r="AM24" t="s">
        <v>3527</v>
      </c>
      <c r="AN24" t="s">
        <v>3559</v>
      </c>
      <c r="AO24" t="s">
        <v>1122</v>
      </c>
      <c r="AP24">
        <v>28000</v>
      </c>
      <c r="AQ24" t="s">
        <v>1123</v>
      </c>
      <c r="AR24" t="s">
        <v>1129</v>
      </c>
      <c r="AS24">
        <v>0.93</v>
      </c>
      <c r="AT24">
        <v>4022</v>
      </c>
      <c r="AU24">
        <v>210</v>
      </c>
      <c r="AV24">
        <v>0.08</v>
      </c>
      <c r="AW24">
        <v>517.05999999999995</v>
      </c>
      <c r="AX24" t="s">
        <v>3586</v>
      </c>
      <c r="AY24" s="4" t="s">
        <v>3736</v>
      </c>
      <c r="AZ24" t="s">
        <v>3737</v>
      </c>
      <c r="BA24" t="s">
        <v>22</v>
      </c>
      <c r="BB24" t="s">
        <v>23</v>
      </c>
      <c r="BC24">
        <v>77064</v>
      </c>
      <c r="BD24" t="s">
        <v>67</v>
      </c>
      <c r="BF24" t="s">
        <v>3556</v>
      </c>
      <c r="BG24" t="s">
        <v>3733</v>
      </c>
      <c r="BH24" t="s">
        <v>3527</v>
      </c>
      <c r="BI24" t="s">
        <v>3559</v>
      </c>
      <c r="BJ24" t="s">
        <v>1122</v>
      </c>
      <c r="BK24">
        <v>28000</v>
      </c>
      <c r="BL24" t="s">
        <v>1123</v>
      </c>
      <c r="BM24" t="s">
        <v>1129</v>
      </c>
      <c r="BN24">
        <v>4.76</v>
      </c>
      <c r="BO24">
        <v>20645</v>
      </c>
      <c r="BP24">
        <v>120</v>
      </c>
      <c r="BQ24">
        <v>0.04</v>
      </c>
      <c r="BR24">
        <v>1397</v>
      </c>
      <c r="BS24" t="s">
        <v>3586</v>
      </c>
      <c r="BT24" s="4" t="s">
        <v>3736</v>
      </c>
      <c r="BU24" t="s">
        <v>3737</v>
      </c>
      <c r="BV24" t="s">
        <v>22</v>
      </c>
      <c r="BW24" t="s">
        <v>23</v>
      </c>
      <c r="BX24">
        <v>77064</v>
      </c>
      <c r="BY24" t="s">
        <v>67</v>
      </c>
      <c r="CA24" t="s">
        <v>3545</v>
      </c>
      <c r="CB24" t="s">
        <v>3733</v>
      </c>
      <c r="CC24" t="s">
        <v>3527</v>
      </c>
      <c r="CD24" t="s">
        <v>3546</v>
      </c>
      <c r="CE24" t="s">
        <v>1122</v>
      </c>
      <c r="CF24">
        <v>28000</v>
      </c>
      <c r="CG24" t="s">
        <v>1123</v>
      </c>
      <c r="CH24" t="s">
        <v>1129</v>
      </c>
      <c r="CI24">
        <v>1.57</v>
      </c>
      <c r="CJ24">
        <v>10254</v>
      </c>
      <c r="CK24">
        <v>210</v>
      </c>
      <c r="CL24">
        <v>0.08</v>
      </c>
      <c r="CM24">
        <v>1150.02</v>
      </c>
      <c r="CN24" t="s">
        <v>3586</v>
      </c>
      <c r="CO24" s="4" t="s">
        <v>3738</v>
      </c>
      <c r="CP24" t="s">
        <v>3739</v>
      </c>
      <c r="CQ24" t="s">
        <v>22</v>
      </c>
      <c r="CR24" t="s">
        <v>23</v>
      </c>
      <c r="CS24">
        <v>77034</v>
      </c>
      <c r="CT24" t="s">
        <v>67</v>
      </c>
      <c r="CV24" t="s">
        <v>3545</v>
      </c>
      <c r="CW24" t="s">
        <v>3733</v>
      </c>
      <c r="CX24" t="s">
        <v>3527</v>
      </c>
      <c r="CY24" t="s">
        <v>3590</v>
      </c>
      <c r="CZ24" t="s">
        <v>1122</v>
      </c>
      <c r="DA24">
        <v>10050</v>
      </c>
      <c r="DB24" t="s">
        <v>1123</v>
      </c>
      <c r="DC24" t="s">
        <v>1129</v>
      </c>
      <c r="DD24">
        <v>32.520000000000003</v>
      </c>
      <c r="DE24">
        <v>126522</v>
      </c>
      <c r="DF24">
        <v>210</v>
      </c>
      <c r="DG24">
        <v>0.08</v>
      </c>
      <c r="DH24">
        <v>16950.96</v>
      </c>
      <c r="DI24" t="s">
        <v>3586</v>
      </c>
      <c r="DJ24" s="4" t="s">
        <v>3738</v>
      </c>
      <c r="DK24" t="s">
        <v>3739</v>
      </c>
      <c r="DL24" t="s">
        <v>22</v>
      </c>
      <c r="DM24" t="s">
        <v>23</v>
      </c>
      <c r="DN24">
        <v>77034</v>
      </c>
      <c r="DO24" t="s">
        <v>67</v>
      </c>
      <c r="DQ24" t="s">
        <v>3545</v>
      </c>
      <c r="DR24" t="s">
        <v>3733</v>
      </c>
      <c r="DS24" t="s">
        <v>3527</v>
      </c>
      <c r="DT24" t="s">
        <v>3546</v>
      </c>
      <c r="DU24" t="s">
        <v>1129</v>
      </c>
      <c r="DV24">
        <v>10050</v>
      </c>
      <c r="DY24">
        <v>0.42</v>
      </c>
      <c r="DZ24">
        <v>2733</v>
      </c>
      <c r="EA24">
        <v>210</v>
      </c>
      <c r="EB24">
        <v>0.08</v>
      </c>
      <c r="EC24">
        <v>306.84000000000003</v>
      </c>
      <c r="ED24" t="s">
        <v>3586</v>
      </c>
      <c r="EE24" s="4" t="s">
        <v>3740</v>
      </c>
      <c r="EF24" t="s">
        <v>3741</v>
      </c>
      <c r="EG24" t="s">
        <v>392</v>
      </c>
      <c r="EH24" t="s">
        <v>23</v>
      </c>
      <c r="EI24">
        <v>77477</v>
      </c>
      <c r="EJ24" t="s">
        <v>3650</v>
      </c>
      <c r="EL24" t="s">
        <v>3545</v>
      </c>
      <c r="EM24" t="s">
        <v>3733</v>
      </c>
      <c r="EN24" t="s">
        <v>3527</v>
      </c>
      <c r="EO24" t="s">
        <v>3590</v>
      </c>
      <c r="EP24" t="s">
        <v>1122</v>
      </c>
      <c r="EQ24">
        <v>8100</v>
      </c>
      <c r="ER24" t="s">
        <v>1123</v>
      </c>
      <c r="ES24" t="s">
        <v>1129</v>
      </c>
      <c r="ET24">
        <v>11.24</v>
      </c>
      <c r="EU24">
        <v>43736</v>
      </c>
      <c r="EV24">
        <v>210</v>
      </c>
      <c r="EW24">
        <v>0.08</v>
      </c>
      <c r="EX24">
        <v>5859.2800000000007</v>
      </c>
      <c r="EY24" t="s">
        <v>3586</v>
      </c>
      <c r="EZ24" s="4" t="s">
        <v>3740</v>
      </c>
      <c r="FA24" t="s">
        <v>3741</v>
      </c>
      <c r="FB24" t="s">
        <v>392</v>
      </c>
      <c r="FC24" t="s">
        <v>23</v>
      </c>
      <c r="FD24">
        <v>77477</v>
      </c>
      <c r="FE24" t="s">
        <v>3650</v>
      </c>
      <c r="FG24" t="s">
        <v>3545</v>
      </c>
      <c r="FH24" t="s">
        <v>3733</v>
      </c>
      <c r="FI24" t="s">
        <v>3527</v>
      </c>
      <c r="FJ24" t="s">
        <v>3546</v>
      </c>
      <c r="FK24" t="s">
        <v>1122</v>
      </c>
      <c r="FL24">
        <v>8100</v>
      </c>
      <c r="FM24" t="s">
        <v>1123</v>
      </c>
      <c r="FN24" t="s">
        <v>1129</v>
      </c>
      <c r="FO24">
        <v>0.51</v>
      </c>
      <c r="FP24">
        <v>3333</v>
      </c>
      <c r="FQ24">
        <v>210</v>
      </c>
      <c r="FR24">
        <v>0.08</v>
      </c>
      <c r="FS24">
        <v>373.74</v>
      </c>
      <c r="FT24" t="s">
        <v>3586</v>
      </c>
      <c r="FU24" s="4" t="s">
        <v>3742</v>
      </c>
      <c r="FV24" t="s">
        <v>3743</v>
      </c>
      <c r="FW24" t="s">
        <v>605</v>
      </c>
      <c r="FX24" t="s">
        <v>23</v>
      </c>
      <c r="FY24">
        <v>77380</v>
      </c>
      <c r="FZ24" t="s">
        <v>2046</v>
      </c>
      <c r="GB24" t="s">
        <v>3545</v>
      </c>
      <c r="GC24" t="s">
        <v>3733</v>
      </c>
      <c r="GD24" t="s">
        <v>3527</v>
      </c>
      <c r="GE24" t="s">
        <v>3590</v>
      </c>
      <c r="GF24" t="s">
        <v>1122</v>
      </c>
      <c r="GG24">
        <v>5400</v>
      </c>
      <c r="GH24" t="s">
        <v>1123</v>
      </c>
      <c r="GI24" t="s">
        <v>1129</v>
      </c>
      <c r="GJ24">
        <v>10.039999999999999</v>
      </c>
      <c r="GK24">
        <v>39061</v>
      </c>
      <c r="GL24">
        <v>210</v>
      </c>
      <c r="GM24">
        <v>0.08</v>
      </c>
      <c r="GN24">
        <v>5233.28</v>
      </c>
      <c r="GO24" t="s">
        <v>3586</v>
      </c>
      <c r="GP24" s="4" t="s">
        <v>3742</v>
      </c>
      <c r="GQ24" t="s">
        <v>3743</v>
      </c>
      <c r="GR24" t="s">
        <v>605</v>
      </c>
      <c r="GS24" t="s">
        <v>23</v>
      </c>
      <c r="GT24">
        <v>77380</v>
      </c>
      <c r="GU24" t="s">
        <v>2046</v>
      </c>
      <c r="GW24" t="s">
        <v>3545</v>
      </c>
      <c r="GX24" t="s">
        <v>3733</v>
      </c>
      <c r="GY24" t="s">
        <v>3527</v>
      </c>
      <c r="GZ24" t="s">
        <v>3590</v>
      </c>
      <c r="HA24" t="s">
        <v>1122</v>
      </c>
      <c r="HB24">
        <v>5400</v>
      </c>
      <c r="HC24" t="s">
        <v>1123</v>
      </c>
      <c r="HD24" t="s">
        <v>1129</v>
      </c>
      <c r="HE24">
        <v>2.15</v>
      </c>
      <c r="HF24">
        <v>8748</v>
      </c>
      <c r="HG24">
        <v>210</v>
      </c>
      <c r="HH24">
        <v>0.08</v>
      </c>
      <c r="HI24">
        <v>1151.3400000000001</v>
      </c>
      <c r="HJ24" t="s">
        <v>3586</v>
      </c>
    </row>
    <row r="25" spans="1:218" x14ac:dyDescent="0.25">
      <c r="A25" t="s">
        <v>3744</v>
      </c>
      <c r="B25" t="s">
        <v>3745</v>
      </c>
      <c r="C25" t="s">
        <v>3746</v>
      </c>
      <c r="D25" t="s">
        <v>3518</v>
      </c>
      <c r="E25" t="s">
        <v>3539</v>
      </c>
      <c r="F25" s="14">
        <v>41698</v>
      </c>
      <c r="G25" s="15">
        <v>656.58</v>
      </c>
      <c r="H25" s="15">
        <v>13131.58</v>
      </c>
      <c r="I25" t="s">
        <v>3609</v>
      </c>
      <c r="J25" s="14">
        <v>41677</v>
      </c>
      <c r="K25" s="14">
        <v>41683</v>
      </c>
      <c r="L25" s="14">
        <v>41702</v>
      </c>
      <c r="M25" s="14">
        <v>41719</v>
      </c>
      <c r="N25" s="15">
        <v>86515.66</v>
      </c>
      <c r="O25" s="14">
        <v>41719</v>
      </c>
      <c r="P25" s="14">
        <v>41738</v>
      </c>
      <c r="Q25" s="14">
        <v>41745</v>
      </c>
      <c r="R25" s="14">
        <v>41740</v>
      </c>
      <c r="S25" s="15">
        <v>10278.86</v>
      </c>
      <c r="T25" t="s">
        <v>3540</v>
      </c>
      <c r="U25" s="15">
        <v>0</v>
      </c>
      <c r="V25" t="s">
        <v>3541</v>
      </c>
      <c r="W25" t="s">
        <v>3747</v>
      </c>
      <c r="X25">
        <v>21.049999999999997</v>
      </c>
      <c r="Y25">
        <v>133424</v>
      </c>
      <c r="Z25" s="15">
        <v>10278.86</v>
      </c>
      <c r="AD25" s="4" t="s">
        <v>3748</v>
      </c>
      <c r="AE25" t="s">
        <v>3749</v>
      </c>
      <c r="AF25" t="s">
        <v>22</v>
      </c>
      <c r="AG25" t="s">
        <v>23</v>
      </c>
      <c r="AH25">
        <v>77079</v>
      </c>
      <c r="AI25" t="s">
        <v>67</v>
      </c>
      <c r="AK25" t="s">
        <v>3556</v>
      </c>
      <c r="AL25" t="s">
        <v>3750</v>
      </c>
      <c r="AM25" t="s">
        <v>3527</v>
      </c>
      <c r="AN25" t="s">
        <v>3613</v>
      </c>
      <c r="AO25" t="s">
        <v>3751</v>
      </c>
      <c r="AP25">
        <v>180536</v>
      </c>
      <c r="AQ25" t="s">
        <v>3752</v>
      </c>
      <c r="AR25" t="s">
        <v>3753</v>
      </c>
      <c r="AS25">
        <v>0.57999999999999996</v>
      </c>
      <c r="AT25">
        <v>2684</v>
      </c>
      <c r="AU25">
        <v>120</v>
      </c>
      <c r="AV25">
        <v>0.04</v>
      </c>
      <c r="AW25" s="15">
        <v>176.96</v>
      </c>
      <c r="AX25" t="s">
        <v>3532</v>
      </c>
      <c r="AY25" s="4" t="s">
        <v>3748</v>
      </c>
      <c r="AZ25" t="s">
        <v>3749</v>
      </c>
      <c r="BA25" t="s">
        <v>22</v>
      </c>
      <c r="BB25" t="s">
        <v>23</v>
      </c>
      <c r="BC25">
        <v>77079</v>
      </c>
      <c r="BD25" t="s">
        <v>67</v>
      </c>
      <c r="BF25" t="s">
        <v>3545</v>
      </c>
      <c r="BG25" t="s">
        <v>3750</v>
      </c>
      <c r="BH25" t="s">
        <v>3527</v>
      </c>
      <c r="BI25" t="s">
        <v>3613</v>
      </c>
      <c r="BJ25" t="s">
        <v>3751</v>
      </c>
      <c r="BK25">
        <v>180536</v>
      </c>
      <c r="BL25" t="s">
        <v>3752</v>
      </c>
      <c r="BM25" t="s">
        <v>3753</v>
      </c>
      <c r="BN25">
        <v>0.03</v>
      </c>
      <c r="BO25">
        <v>145</v>
      </c>
      <c r="BP25">
        <v>210</v>
      </c>
      <c r="BQ25">
        <v>0.08</v>
      </c>
      <c r="BR25" s="15">
        <v>17.899999999999999</v>
      </c>
      <c r="BS25" t="s">
        <v>3532</v>
      </c>
      <c r="BT25" s="4" t="s">
        <v>3748</v>
      </c>
      <c r="BU25" t="s">
        <v>3749</v>
      </c>
      <c r="BV25" t="s">
        <v>22</v>
      </c>
      <c r="BW25" t="s">
        <v>23</v>
      </c>
      <c r="BX25">
        <v>77079</v>
      </c>
      <c r="BY25" t="s">
        <v>67</v>
      </c>
      <c r="CA25" t="s">
        <v>3545</v>
      </c>
      <c r="CB25" t="s">
        <v>3750</v>
      </c>
      <c r="CC25" t="s">
        <v>3527</v>
      </c>
      <c r="CD25" t="s">
        <v>3604</v>
      </c>
      <c r="CE25" t="s">
        <v>3751</v>
      </c>
      <c r="CF25">
        <v>180536</v>
      </c>
      <c r="CG25" t="s">
        <v>3752</v>
      </c>
      <c r="CH25" t="s">
        <v>3753</v>
      </c>
      <c r="CI25">
        <v>11.08</v>
      </c>
      <c r="CJ25">
        <v>87347</v>
      </c>
      <c r="CK25">
        <v>210</v>
      </c>
      <c r="CL25">
        <v>0.08</v>
      </c>
      <c r="CM25" s="15">
        <v>9314.56</v>
      </c>
      <c r="CN25" t="s">
        <v>3532</v>
      </c>
      <c r="CO25" s="4" t="s">
        <v>3748</v>
      </c>
      <c r="CP25" t="s">
        <v>3749</v>
      </c>
      <c r="CQ25" t="s">
        <v>22</v>
      </c>
      <c r="CR25" t="s">
        <v>23</v>
      </c>
      <c r="CS25">
        <v>77079</v>
      </c>
      <c r="CT25" t="s">
        <v>67</v>
      </c>
      <c r="CV25" t="s">
        <v>3754</v>
      </c>
      <c r="CW25" t="s">
        <v>3750</v>
      </c>
      <c r="CX25" t="s">
        <v>3527</v>
      </c>
      <c r="CY25" t="s">
        <v>3613</v>
      </c>
      <c r="CZ25" t="s">
        <v>3751</v>
      </c>
      <c r="DA25">
        <v>180536</v>
      </c>
      <c r="DB25" t="s">
        <v>3752</v>
      </c>
      <c r="DC25" t="s">
        <v>3753</v>
      </c>
      <c r="DD25">
        <v>9.36</v>
      </c>
      <c r="DE25">
        <v>43248</v>
      </c>
      <c r="DF25">
        <v>36</v>
      </c>
      <c r="DG25">
        <v>0.01</v>
      </c>
      <c r="DH25">
        <v>769.44</v>
      </c>
      <c r="DI25" t="s">
        <v>3532</v>
      </c>
    </row>
    <row r="26" spans="1:218" x14ac:dyDescent="0.25">
      <c r="A26" t="s">
        <v>3755</v>
      </c>
      <c r="B26" t="s">
        <v>3756</v>
      </c>
      <c r="C26" t="s">
        <v>3757</v>
      </c>
      <c r="D26" t="s">
        <v>3518</v>
      </c>
      <c r="E26" t="s">
        <v>3549</v>
      </c>
      <c r="F26" s="14">
        <v>41760</v>
      </c>
      <c r="G26" s="15">
        <v>3798.88</v>
      </c>
      <c r="H26" s="15">
        <v>63746.64</v>
      </c>
      <c r="I26" t="s">
        <v>3520</v>
      </c>
      <c r="J26" s="14">
        <v>41681</v>
      </c>
      <c r="K26" s="14">
        <v>41682</v>
      </c>
      <c r="L26" s="14">
        <v>41704</v>
      </c>
      <c r="M26" s="14">
        <v>41733</v>
      </c>
      <c r="N26" s="15">
        <v>223625.02</v>
      </c>
      <c r="O26" s="14">
        <v>41733</v>
      </c>
      <c r="P26" s="14">
        <v>41739</v>
      </c>
      <c r="Q26" s="14">
        <v>41759</v>
      </c>
      <c r="R26" s="14">
        <v>1</v>
      </c>
      <c r="S26" s="15">
        <v>63746.64</v>
      </c>
      <c r="T26" t="s">
        <v>3540</v>
      </c>
      <c r="U26" s="15">
        <v>0</v>
      </c>
      <c r="V26" t="s">
        <v>3541</v>
      </c>
      <c r="W26" t="s">
        <v>3758</v>
      </c>
      <c r="X26">
        <v>227.87</v>
      </c>
      <c r="Y26">
        <v>227158</v>
      </c>
      <c r="Z26" s="15">
        <v>63746.64</v>
      </c>
      <c r="AD26" s="4" t="s">
        <v>3759</v>
      </c>
      <c r="AE26" t="s">
        <v>3760</v>
      </c>
      <c r="AF26" t="s">
        <v>88</v>
      </c>
      <c r="AG26" t="s">
        <v>23</v>
      </c>
      <c r="AH26">
        <v>77060</v>
      </c>
      <c r="AI26" t="s">
        <v>67</v>
      </c>
      <c r="AK26" t="s">
        <v>3761</v>
      </c>
      <c r="AL26" t="s">
        <v>3762</v>
      </c>
      <c r="AM26" t="s">
        <v>3527</v>
      </c>
      <c r="AO26" t="s">
        <v>2471</v>
      </c>
      <c r="AP26">
        <v>300000</v>
      </c>
      <c r="AQ26" t="s">
        <v>3763</v>
      </c>
      <c r="AR26" t="s">
        <v>3764</v>
      </c>
      <c r="AS26">
        <v>227.87</v>
      </c>
      <c r="AT26">
        <v>227158</v>
      </c>
      <c r="AU26">
        <v>200</v>
      </c>
      <c r="AV26">
        <v>0.08</v>
      </c>
      <c r="AW26">
        <v>63746.64</v>
      </c>
      <c r="AX26" t="s">
        <v>3765</v>
      </c>
      <c r="AY26" s="4"/>
      <c r="BT26" s="4"/>
    </row>
    <row r="27" spans="1:218" x14ac:dyDescent="0.25">
      <c r="A27" t="s">
        <v>3766</v>
      </c>
      <c r="B27" t="s">
        <v>3767</v>
      </c>
      <c r="C27" t="s">
        <v>3768</v>
      </c>
      <c r="D27" t="s">
        <v>3553</v>
      </c>
      <c r="E27" t="s">
        <v>3576</v>
      </c>
      <c r="F27" s="14">
        <v>41855</v>
      </c>
      <c r="G27" s="15">
        <v>2000</v>
      </c>
      <c r="H27" s="15">
        <v>41288.43</v>
      </c>
      <c r="I27" t="s">
        <v>3520</v>
      </c>
      <c r="J27" s="14">
        <v>41740</v>
      </c>
      <c r="K27" s="14">
        <v>1</v>
      </c>
      <c r="L27" s="14">
        <v>41955</v>
      </c>
      <c r="M27" s="14">
        <v>41973</v>
      </c>
      <c r="N27" s="15">
        <v>100000</v>
      </c>
      <c r="O27" s="14">
        <v>41973</v>
      </c>
      <c r="P27" s="14">
        <v>41978</v>
      </c>
      <c r="Q27" s="14">
        <v>41995</v>
      </c>
      <c r="R27" s="14">
        <v>1</v>
      </c>
      <c r="S27" s="15">
        <v>41288.43</v>
      </c>
      <c r="T27" t="s">
        <v>3769</v>
      </c>
      <c r="U27" s="15">
        <v>27755.33</v>
      </c>
      <c r="V27" t="s">
        <v>3541</v>
      </c>
      <c r="W27" t="s">
        <v>3770</v>
      </c>
      <c r="X27">
        <v>139.72</v>
      </c>
      <c r="Y27">
        <v>435274</v>
      </c>
      <c r="Z27" s="15">
        <v>69043.759999999995</v>
      </c>
      <c r="AD27" s="4" t="s">
        <v>3771</v>
      </c>
      <c r="AE27" t="s">
        <v>3772</v>
      </c>
      <c r="AF27" t="s">
        <v>3773</v>
      </c>
      <c r="AG27" t="s">
        <v>23</v>
      </c>
      <c r="AH27">
        <v>77523</v>
      </c>
      <c r="AI27" t="s">
        <v>3774</v>
      </c>
      <c r="AK27" t="s">
        <v>3545</v>
      </c>
      <c r="AL27" t="s">
        <v>3775</v>
      </c>
      <c r="AM27" t="s">
        <v>3527</v>
      </c>
      <c r="AN27" t="s">
        <v>3546</v>
      </c>
      <c r="AO27" t="s">
        <v>3776</v>
      </c>
      <c r="AP27">
        <v>499217</v>
      </c>
      <c r="AQ27" t="s">
        <v>3319</v>
      </c>
      <c r="AR27" t="s">
        <v>3777</v>
      </c>
      <c r="AS27">
        <v>19.18</v>
      </c>
      <c r="AT27">
        <v>125645</v>
      </c>
      <c r="AU27">
        <v>210</v>
      </c>
      <c r="AV27">
        <v>0.08</v>
      </c>
      <c r="AW27">
        <v>14079.4</v>
      </c>
      <c r="AX27" t="s">
        <v>3586</v>
      </c>
      <c r="AY27" s="4" t="s">
        <v>3771</v>
      </c>
      <c r="AZ27" t="s">
        <v>3772</v>
      </c>
      <c r="BA27" t="s">
        <v>3773</v>
      </c>
      <c r="BB27" t="s">
        <v>23</v>
      </c>
      <c r="BC27">
        <v>77523</v>
      </c>
      <c r="BD27" t="s">
        <v>3774</v>
      </c>
      <c r="BF27" t="s">
        <v>3545</v>
      </c>
      <c r="BG27" t="s">
        <v>3775</v>
      </c>
      <c r="BH27" t="s">
        <v>3527</v>
      </c>
      <c r="BI27" t="s">
        <v>3546</v>
      </c>
      <c r="BJ27" t="s">
        <v>3776</v>
      </c>
      <c r="BK27">
        <v>499217</v>
      </c>
      <c r="BL27" t="s">
        <v>3319</v>
      </c>
      <c r="BM27" t="s">
        <v>3777</v>
      </c>
      <c r="BN27">
        <v>19.18</v>
      </c>
      <c r="BO27">
        <v>125645</v>
      </c>
      <c r="BP27">
        <v>210</v>
      </c>
      <c r="BQ27">
        <v>0.08</v>
      </c>
      <c r="BR27">
        <v>14079.4</v>
      </c>
      <c r="BS27" t="s">
        <v>3586</v>
      </c>
      <c r="BT27" s="4" t="s">
        <v>3771</v>
      </c>
      <c r="BU27" t="s">
        <v>3772</v>
      </c>
      <c r="BV27" t="s">
        <v>3773</v>
      </c>
      <c r="BW27" t="s">
        <v>23</v>
      </c>
      <c r="BX27">
        <v>77523</v>
      </c>
      <c r="BY27" t="s">
        <v>3774</v>
      </c>
      <c r="CA27" t="s">
        <v>3594</v>
      </c>
      <c r="CB27" t="s">
        <v>3775</v>
      </c>
      <c r="CC27" t="s">
        <v>3527</v>
      </c>
      <c r="CE27" t="s">
        <v>3776</v>
      </c>
      <c r="CF27">
        <v>499217</v>
      </c>
      <c r="CG27" t="s">
        <v>3319</v>
      </c>
      <c r="CH27" t="s">
        <v>3777</v>
      </c>
      <c r="CI27">
        <v>50.68</v>
      </c>
      <c r="CJ27">
        <v>91992</v>
      </c>
      <c r="CK27">
        <v>240</v>
      </c>
      <c r="CL27">
        <v>0.09</v>
      </c>
      <c r="CM27">
        <v>20442.48</v>
      </c>
      <c r="CN27" t="s">
        <v>3586</v>
      </c>
      <c r="CO27" s="4" t="s">
        <v>3771</v>
      </c>
      <c r="CP27" t="s">
        <v>3772</v>
      </c>
      <c r="CQ27" t="s">
        <v>3773</v>
      </c>
      <c r="CR27" t="s">
        <v>23</v>
      </c>
      <c r="CS27">
        <v>77523</v>
      </c>
      <c r="CT27" t="s">
        <v>3774</v>
      </c>
      <c r="CV27" t="s">
        <v>3594</v>
      </c>
      <c r="CW27" t="s">
        <v>3775</v>
      </c>
      <c r="CX27" t="s">
        <v>3527</v>
      </c>
      <c r="CZ27" t="s">
        <v>3776</v>
      </c>
      <c r="DA27">
        <v>499217</v>
      </c>
      <c r="DB27" t="s">
        <v>3319</v>
      </c>
      <c r="DC27" t="s">
        <v>3777</v>
      </c>
      <c r="DD27">
        <v>50.68</v>
      </c>
      <c r="DE27">
        <v>91992</v>
      </c>
      <c r="DF27">
        <v>240</v>
      </c>
      <c r="DG27">
        <v>0.09</v>
      </c>
      <c r="DH27">
        <v>20442.48</v>
      </c>
      <c r="DI27" t="s">
        <v>3586</v>
      </c>
    </row>
    <row r="28" spans="1:218" x14ac:dyDescent="0.25">
      <c r="A28" t="s">
        <v>3778</v>
      </c>
      <c r="B28" t="s">
        <v>3767</v>
      </c>
      <c r="C28" t="s">
        <v>3768</v>
      </c>
      <c r="D28" t="s">
        <v>3553</v>
      </c>
      <c r="E28" t="s">
        <v>3576</v>
      </c>
      <c r="F28" s="14">
        <v>41855</v>
      </c>
      <c r="G28" s="15">
        <v>2000</v>
      </c>
      <c r="H28" s="15">
        <v>41288.43</v>
      </c>
      <c r="I28" t="s">
        <v>3520</v>
      </c>
      <c r="J28" s="14">
        <v>41740</v>
      </c>
      <c r="K28" s="14">
        <v>1</v>
      </c>
      <c r="L28" s="14">
        <v>41955</v>
      </c>
      <c r="M28" s="14">
        <v>41973</v>
      </c>
      <c r="N28" s="15">
        <v>100000</v>
      </c>
      <c r="O28" s="14">
        <v>41973</v>
      </c>
      <c r="P28" s="14">
        <v>41978</v>
      </c>
      <c r="Q28" s="14">
        <v>41995</v>
      </c>
      <c r="R28" s="14">
        <v>1</v>
      </c>
      <c r="S28" s="15">
        <v>41288.43</v>
      </c>
      <c r="T28" t="s">
        <v>3769</v>
      </c>
      <c r="U28" s="15">
        <v>27755.33</v>
      </c>
      <c r="V28" t="s">
        <v>3521</v>
      </c>
      <c r="W28" t="s">
        <v>3770</v>
      </c>
      <c r="X28">
        <v>139.72</v>
      </c>
      <c r="Y28">
        <v>435274</v>
      </c>
      <c r="Z28" s="15">
        <v>69043.759999999995</v>
      </c>
      <c r="AD28" s="4" t="s">
        <v>3771</v>
      </c>
      <c r="AE28" t="s">
        <v>3772</v>
      </c>
      <c r="AF28" t="s">
        <v>3773</v>
      </c>
      <c r="AG28" t="s">
        <v>23</v>
      </c>
      <c r="AH28">
        <v>77523</v>
      </c>
      <c r="AI28" t="s">
        <v>3774</v>
      </c>
      <c r="AK28" t="s">
        <v>3545</v>
      </c>
      <c r="AL28" t="s">
        <v>3775</v>
      </c>
      <c r="AM28" t="s">
        <v>3527</v>
      </c>
      <c r="AN28" t="s">
        <v>3546</v>
      </c>
      <c r="AO28" t="s">
        <v>3776</v>
      </c>
      <c r="AP28">
        <v>499217</v>
      </c>
      <c r="AQ28" t="s">
        <v>3319</v>
      </c>
      <c r="AR28" t="s">
        <v>3777</v>
      </c>
      <c r="AS28">
        <v>19.18</v>
      </c>
      <c r="AT28">
        <v>125645</v>
      </c>
      <c r="AU28">
        <v>210</v>
      </c>
      <c r="AV28">
        <v>0.08</v>
      </c>
      <c r="AW28">
        <v>14079.4</v>
      </c>
      <c r="AX28" t="s">
        <v>3586</v>
      </c>
      <c r="AY28" s="4" t="s">
        <v>3771</v>
      </c>
      <c r="AZ28" t="s">
        <v>3772</v>
      </c>
      <c r="BA28" t="s">
        <v>3773</v>
      </c>
      <c r="BB28" t="s">
        <v>23</v>
      </c>
      <c r="BC28">
        <v>77523</v>
      </c>
      <c r="BD28" t="s">
        <v>3774</v>
      </c>
      <c r="BF28" t="s">
        <v>3545</v>
      </c>
      <c r="BG28" t="s">
        <v>3775</v>
      </c>
      <c r="BH28" t="s">
        <v>3527</v>
      </c>
      <c r="BI28" t="s">
        <v>3546</v>
      </c>
      <c r="BJ28" t="s">
        <v>3776</v>
      </c>
      <c r="BK28">
        <v>499217</v>
      </c>
      <c r="BL28" t="s">
        <v>3319</v>
      </c>
      <c r="BM28" t="s">
        <v>3777</v>
      </c>
      <c r="BN28">
        <v>19.18</v>
      </c>
      <c r="BO28">
        <v>125645</v>
      </c>
      <c r="BP28">
        <v>210</v>
      </c>
      <c r="BQ28">
        <v>0.08</v>
      </c>
      <c r="BR28">
        <v>14079.4</v>
      </c>
      <c r="BS28" t="s">
        <v>3586</v>
      </c>
      <c r="BT28" s="4" t="s">
        <v>3771</v>
      </c>
      <c r="BU28" t="s">
        <v>3772</v>
      </c>
      <c r="BV28" t="s">
        <v>3773</v>
      </c>
      <c r="BW28" t="s">
        <v>23</v>
      </c>
      <c r="BX28">
        <v>77523</v>
      </c>
      <c r="BY28" t="s">
        <v>3774</v>
      </c>
      <c r="CA28" t="s">
        <v>3594</v>
      </c>
      <c r="CB28" t="s">
        <v>3775</v>
      </c>
      <c r="CC28" t="s">
        <v>3527</v>
      </c>
      <c r="CE28" t="s">
        <v>3776</v>
      </c>
      <c r="CF28">
        <v>499217</v>
      </c>
      <c r="CG28" t="s">
        <v>3319</v>
      </c>
      <c r="CH28" t="s">
        <v>3777</v>
      </c>
      <c r="CI28">
        <v>50.68</v>
      </c>
      <c r="CJ28">
        <v>91992</v>
      </c>
      <c r="CK28">
        <v>240</v>
      </c>
      <c r="CL28">
        <v>0.09</v>
      </c>
      <c r="CM28">
        <v>20442.48</v>
      </c>
      <c r="CN28" t="s">
        <v>3586</v>
      </c>
      <c r="CO28" s="4" t="s">
        <v>3771</v>
      </c>
      <c r="CP28" t="s">
        <v>3772</v>
      </c>
      <c r="CQ28" t="s">
        <v>3773</v>
      </c>
      <c r="CR28" t="s">
        <v>23</v>
      </c>
      <c r="CS28">
        <v>77523</v>
      </c>
      <c r="CT28" t="s">
        <v>3774</v>
      </c>
      <c r="CV28" t="s">
        <v>3594</v>
      </c>
      <c r="CW28" t="s">
        <v>3775</v>
      </c>
      <c r="CX28" t="s">
        <v>3527</v>
      </c>
      <c r="CZ28" t="s">
        <v>3776</v>
      </c>
      <c r="DA28">
        <v>499217</v>
      </c>
      <c r="DB28" t="s">
        <v>3319</v>
      </c>
      <c r="DC28" t="s">
        <v>3777</v>
      </c>
      <c r="DD28">
        <v>50.68</v>
      </c>
      <c r="DE28">
        <v>91992</v>
      </c>
      <c r="DF28">
        <v>240</v>
      </c>
      <c r="DG28">
        <v>0.09</v>
      </c>
      <c r="DH28">
        <v>20442.48</v>
      </c>
      <c r="DI28" t="s">
        <v>3586</v>
      </c>
    </row>
    <row r="29" spans="1:218" x14ac:dyDescent="0.25">
      <c r="A29" t="s">
        <v>3779</v>
      </c>
      <c r="B29" t="s">
        <v>3767</v>
      </c>
      <c r="C29" t="s">
        <v>3768</v>
      </c>
      <c r="D29" t="s">
        <v>3553</v>
      </c>
      <c r="E29" t="s">
        <v>3576</v>
      </c>
      <c r="F29" s="14">
        <v>41855</v>
      </c>
      <c r="G29" s="15">
        <v>2000</v>
      </c>
      <c r="H29" s="15">
        <v>41288.43</v>
      </c>
      <c r="I29" t="s">
        <v>3520</v>
      </c>
      <c r="J29" s="14">
        <v>41740</v>
      </c>
      <c r="K29" s="14">
        <v>1</v>
      </c>
      <c r="L29" s="14">
        <v>41955</v>
      </c>
      <c r="M29" s="14">
        <v>41973</v>
      </c>
      <c r="N29" s="15">
        <v>100000</v>
      </c>
      <c r="O29" s="14">
        <v>41973</v>
      </c>
      <c r="P29" s="14">
        <v>41978</v>
      </c>
      <c r="Q29" s="14">
        <v>41995</v>
      </c>
      <c r="R29" s="14">
        <v>1</v>
      </c>
      <c r="S29" s="15">
        <v>41288.43</v>
      </c>
      <c r="T29" t="s">
        <v>3769</v>
      </c>
      <c r="U29" s="15">
        <v>27755.33</v>
      </c>
      <c r="V29" t="s">
        <v>3541</v>
      </c>
      <c r="W29" t="s">
        <v>3770</v>
      </c>
      <c r="X29">
        <v>139.72</v>
      </c>
      <c r="Y29">
        <v>435274</v>
      </c>
      <c r="Z29" s="15">
        <v>69043.759999999995</v>
      </c>
      <c r="AD29" s="4" t="s">
        <v>3771</v>
      </c>
      <c r="AE29" t="s">
        <v>3772</v>
      </c>
      <c r="AF29" t="s">
        <v>3773</v>
      </c>
      <c r="AG29" t="s">
        <v>23</v>
      </c>
      <c r="AH29">
        <v>77523</v>
      </c>
      <c r="AI29" t="s">
        <v>3774</v>
      </c>
      <c r="AK29" t="s">
        <v>3545</v>
      </c>
      <c r="AL29" t="s">
        <v>3775</v>
      </c>
      <c r="AM29" t="s">
        <v>3527</v>
      </c>
      <c r="AN29" t="s">
        <v>3546</v>
      </c>
      <c r="AO29" t="s">
        <v>3776</v>
      </c>
      <c r="AP29">
        <v>499217</v>
      </c>
      <c r="AQ29" t="s">
        <v>3319</v>
      </c>
      <c r="AR29" t="s">
        <v>3777</v>
      </c>
      <c r="AS29">
        <v>19.18</v>
      </c>
      <c r="AT29">
        <v>125645</v>
      </c>
      <c r="AU29">
        <v>210</v>
      </c>
      <c r="AV29">
        <v>0.08</v>
      </c>
      <c r="AW29">
        <v>14079.4</v>
      </c>
      <c r="AX29" t="s">
        <v>3586</v>
      </c>
      <c r="AY29" s="4" t="s">
        <v>3771</v>
      </c>
      <c r="AZ29" t="s">
        <v>3772</v>
      </c>
      <c r="BA29" t="s">
        <v>3773</v>
      </c>
      <c r="BB29" t="s">
        <v>23</v>
      </c>
      <c r="BC29">
        <v>77523</v>
      </c>
      <c r="BD29" t="s">
        <v>3774</v>
      </c>
      <c r="BF29" t="s">
        <v>3545</v>
      </c>
      <c r="BG29" t="s">
        <v>3775</v>
      </c>
      <c r="BH29" t="s">
        <v>3527</v>
      </c>
      <c r="BI29" t="s">
        <v>3546</v>
      </c>
      <c r="BJ29" t="s">
        <v>3776</v>
      </c>
      <c r="BK29">
        <v>499217</v>
      </c>
      <c r="BL29" t="s">
        <v>3319</v>
      </c>
      <c r="BM29" t="s">
        <v>3777</v>
      </c>
      <c r="BN29">
        <v>19.18</v>
      </c>
      <c r="BO29">
        <v>125645</v>
      </c>
      <c r="BP29">
        <v>210</v>
      </c>
      <c r="BQ29">
        <v>0.08</v>
      </c>
      <c r="BR29">
        <v>14079.4</v>
      </c>
      <c r="BS29" t="s">
        <v>3586</v>
      </c>
      <c r="BT29" s="4" t="s">
        <v>3771</v>
      </c>
      <c r="BU29" t="s">
        <v>3772</v>
      </c>
      <c r="BV29" t="s">
        <v>3773</v>
      </c>
      <c r="BW29" t="s">
        <v>23</v>
      </c>
      <c r="BX29">
        <v>77523</v>
      </c>
      <c r="BY29" t="s">
        <v>3774</v>
      </c>
      <c r="CA29" t="s">
        <v>3594</v>
      </c>
      <c r="CB29" t="s">
        <v>3775</v>
      </c>
      <c r="CC29" t="s">
        <v>3527</v>
      </c>
      <c r="CE29" t="s">
        <v>3776</v>
      </c>
      <c r="CF29">
        <v>499217</v>
      </c>
      <c r="CG29" t="s">
        <v>3319</v>
      </c>
      <c r="CH29" t="s">
        <v>3777</v>
      </c>
      <c r="CI29">
        <v>50.68</v>
      </c>
      <c r="CJ29">
        <v>91992</v>
      </c>
      <c r="CK29">
        <v>240</v>
      </c>
      <c r="CL29">
        <v>0.09</v>
      </c>
      <c r="CM29">
        <v>20442.48</v>
      </c>
      <c r="CN29" t="s">
        <v>3586</v>
      </c>
      <c r="CO29" s="4" t="s">
        <v>3771</v>
      </c>
      <c r="CP29" t="s">
        <v>3772</v>
      </c>
      <c r="CQ29" t="s">
        <v>3773</v>
      </c>
      <c r="CR29" t="s">
        <v>23</v>
      </c>
      <c r="CS29">
        <v>77523</v>
      </c>
      <c r="CT29" t="s">
        <v>3774</v>
      </c>
      <c r="CV29" t="s">
        <v>3594</v>
      </c>
      <c r="CW29" t="s">
        <v>3775</v>
      </c>
      <c r="CX29" t="s">
        <v>3527</v>
      </c>
      <c r="CZ29" t="s">
        <v>3776</v>
      </c>
      <c r="DA29">
        <v>499217</v>
      </c>
      <c r="DB29" t="s">
        <v>3319</v>
      </c>
      <c r="DC29" t="s">
        <v>3777</v>
      </c>
      <c r="DD29">
        <v>50.68</v>
      </c>
      <c r="DE29">
        <v>91992</v>
      </c>
      <c r="DF29">
        <v>240</v>
      </c>
      <c r="DG29">
        <v>0.09</v>
      </c>
      <c r="DH29">
        <v>20442.48</v>
      </c>
      <c r="DI29" t="s">
        <v>3586</v>
      </c>
    </row>
    <row r="30" spans="1:218" x14ac:dyDescent="0.25">
      <c r="A30" t="s">
        <v>3780</v>
      </c>
      <c r="B30" t="s">
        <v>3781</v>
      </c>
      <c r="C30" t="s">
        <v>3768</v>
      </c>
      <c r="D30" t="s">
        <v>3553</v>
      </c>
      <c r="E30" t="s">
        <v>3576</v>
      </c>
      <c r="F30" s="14">
        <v>41855</v>
      </c>
      <c r="G30" s="15">
        <v>2000</v>
      </c>
      <c r="H30" s="15">
        <v>41288.43</v>
      </c>
      <c r="I30" t="s">
        <v>3520</v>
      </c>
      <c r="J30" s="14">
        <v>41740</v>
      </c>
      <c r="K30" s="14">
        <v>1</v>
      </c>
      <c r="L30" s="14">
        <v>41955</v>
      </c>
      <c r="M30" s="14">
        <v>41973</v>
      </c>
      <c r="N30" s="15">
        <v>100000</v>
      </c>
      <c r="O30" s="14">
        <v>41973</v>
      </c>
      <c r="P30" s="14">
        <v>41978</v>
      </c>
      <c r="Q30" s="14">
        <v>41995</v>
      </c>
      <c r="R30" s="14">
        <v>1</v>
      </c>
      <c r="S30" s="15">
        <v>41288.43</v>
      </c>
      <c r="T30" t="s">
        <v>3769</v>
      </c>
      <c r="U30" s="15">
        <v>27755.33</v>
      </c>
      <c r="V30" t="s">
        <v>3541</v>
      </c>
      <c r="W30" t="s">
        <v>3770</v>
      </c>
      <c r="X30">
        <v>139.72</v>
      </c>
      <c r="Y30">
        <v>435274</v>
      </c>
      <c r="Z30" s="15">
        <v>69043.759999999995</v>
      </c>
      <c r="AD30" s="4" t="s">
        <v>3771</v>
      </c>
      <c r="AE30" t="s">
        <v>3772</v>
      </c>
      <c r="AF30" t="s">
        <v>3773</v>
      </c>
      <c r="AG30" t="s">
        <v>23</v>
      </c>
      <c r="AH30">
        <v>77523</v>
      </c>
      <c r="AI30" t="s">
        <v>3774</v>
      </c>
      <c r="AK30" t="s">
        <v>3545</v>
      </c>
      <c r="AL30" t="s">
        <v>3775</v>
      </c>
      <c r="AM30" t="s">
        <v>3527</v>
      </c>
      <c r="AN30" t="s">
        <v>3546</v>
      </c>
      <c r="AO30" t="s">
        <v>3776</v>
      </c>
      <c r="AP30">
        <v>499217</v>
      </c>
      <c r="AQ30" t="s">
        <v>3319</v>
      </c>
      <c r="AR30" t="s">
        <v>3777</v>
      </c>
      <c r="AS30">
        <v>19.18</v>
      </c>
      <c r="AT30">
        <v>125645</v>
      </c>
      <c r="AU30">
        <v>210</v>
      </c>
      <c r="AV30">
        <v>0.08</v>
      </c>
      <c r="AW30">
        <v>14079.4</v>
      </c>
      <c r="AX30" t="s">
        <v>3586</v>
      </c>
      <c r="AY30" s="4" t="s">
        <v>3771</v>
      </c>
      <c r="AZ30" t="s">
        <v>3772</v>
      </c>
      <c r="BA30" t="s">
        <v>3773</v>
      </c>
      <c r="BB30" t="s">
        <v>23</v>
      </c>
      <c r="BC30">
        <v>77523</v>
      </c>
      <c r="BD30" t="s">
        <v>3774</v>
      </c>
      <c r="BF30" t="s">
        <v>3545</v>
      </c>
      <c r="BG30" t="s">
        <v>3775</v>
      </c>
      <c r="BH30" t="s">
        <v>3527</v>
      </c>
      <c r="BI30" t="s">
        <v>3546</v>
      </c>
      <c r="BJ30" t="s">
        <v>3776</v>
      </c>
      <c r="BK30">
        <v>499217</v>
      </c>
      <c r="BL30" t="s">
        <v>3319</v>
      </c>
      <c r="BM30" t="s">
        <v>3777</v>
      </c>
      <c r="BN30">
        <v>19.18</v>
      </c>
      <c r="BO30">
        <v>125645</v>
      </c>
      <c r="BP30">
        <v>210</v>
      </c>
      <c r="BQ30">
        <v>0.08</v>
      </c>
      <c r="BR30">
        <v>14079.4</v>
      </c>
      <c r="BS30" t="s">
        <v>3586</v>
      </c>
      <c r="BT30" s="4" t="s">
        <v>3771</v>
      </c>
      <c r="BU30" t="s">
        <v>3772</v>
      </c>
      <c r="BV30" t="s">
        <v>3773</v>
      </c>
      <c r="BW30" t="s">
        <v>23</v>
      </c>
      <c r="BX30">
        <v>77523</v>
      </c>
      <c r="BY30" t="s">
        <v>3774</v>
      </c>
      <c r="CA30" t="s">
        <v>3594</v>
      </c>
      <c r="CB30" t="s">
        <v>3775</v>
      </c>
      <c r="CC30" t="s">
        <v>3527</v>
      </c>
      <c r="CE30" t="s">
        <v>3776</v>
      </c>
      <c r="CF30">
        <v>499217</v>
      </c>
      <c r="CG30" t="s">
        <v>3319</v>
      </c>
      <c r="CH30" t="s">
        <v>3777</v>
      </c>
      <c r="CI30">
        <v>50.68</v>
      </c>
      <c r="CJ30">
        <v>91992</v>
      </c>
      <c r="CK30">
        <v>240</v>
      </c>
      <c r="CL30">
        <v>0.09</v>
      </c>
      <c r="CM30">
        <v>20442.48</v>
      </c>
      <c r="CN30" t="s">
        <v>3586</v>
      </c>
      <c r="CO30" s="4" t="s">
        <v>3771</v>
      </c>
      <c r="CP30" t="s">
        <v>3772</v>
      </c>
      <c r="CQ30" t="s">
        <v>3773</v>
      </c>
      <c r="CR30" t="s">
        <v>23</v>
      </c>
      <c r="CS30">
        <v>77523</v>
      </c>
      <c r="CT30" t="s">
        <v>3774</v>
      </c>
      <c r="CV30" t="s">
        <v>3594</v>
      </c>
      <c r="CW30" t="s">
        <v>3775</v>
      </c>
      <c r="CX30" t="s">
        <v>3527</v>
      </c>
      <c r="CZ30" t="s">
        <v>3776</v>
      </c>
      <c r="DA30">
        <v>499217</v>
      </c>
      <c r="DB30" t="s">
        <v>3319</v>
      </c>
      <c r="DC30" t="s">
        <v>3777</v>
      </c>
      <c r="DD30">
        <v>50.68</v>
      </c>
      <c r="DE30">
        <v>91992</v>
      </c>
      <c r="DF30">
        <v>240</v>
      </c>
      <c r="DG30">
        <v>0.09</v>
      </c>
      <c r="DH30">
        <v>20442.48</v>
      </c>
      <c r="DI30" t="s">
        <v>3586</v>
      </c>
    </row>
    <row r="31" spans="1:218" x14ac:dyDescent="0.25">
      <c r="A31" t="s">
        <v>3782</v>
      </c>
      <c r="B31" t="s">
        <v>3618</v>
      </c>
      <c r="C31" t="s">
        <v>3619</v>
      </c>
      <c r="D31" t="s">
        <v>3518</v>
      </c>
      <c r="E31" t="s">
        <v>3539</v>
      </c>
      <c r="F31" s="14">
        <v>41685</v>
      </c>
      <c r="G31" s="15">
        <v>900</v>
      </c>
      <c r="H31" s="15">
        <v>18147.88</v>
      </c>
      <c r="I31" t="s">
        <v>3520</v>
      </c>
      <c r="J31" s="14">
        <v>42013</v>
      </c>
      <c r="K31" s="14">
        <v>42019</v>
      </c>
      <c r="L31" s="14">
        <v>42029</v>
      </c>
      <c r="M31" s="14"/>
      <c r="N31" s="15"/>
      <c r="O31" s="14"/>
      <c r="P31" s="14"/>
      <c r="Q31" s="14"/>
      <c r="R31" s="14"/>
      <c r="S31" s="15"/>
      <c r="T31" t="s">
        <v>3540</v>
      </c>
      <c r="U31" s="15">
        <v>0</v>
      </c>
      <c r="V31" t="s">
        <v>3620</v>
      </c>
      <c r="W31" t="s">
        <v>3621</v>
      </c>
      <c r="X31">
        <v>33.04</v>
      </c>
      <c r="Y31">
        <v>247987</v>
      </c>
      <c r="Z31" s="15">
        <v>18147.88</v>
      </c>
      <c r="AD31" s="4" t="s">
        <v>3622</v>
      </c>
      <c r="AE31" t="s">
        <v>3623</v>
      </c>
      <c r="AF31" t="s">
        <v>22</v>
      </c>
      <c r="AG31" t="s">
        <v>23</v>
      </c>
      <c r="AH31">
        <v>77041</v>
      </c>
      <c r="AI31" t="s">
        <v>67</v>
      </c>
      <c r="AK31" t="s">
        <v>3545</v>
      </c>
      <c r="AL31" t="s">
        <v>3783</v>
      </c>
      <c r="AM31" t="s">
        <v>3527</v>
      </c>
      <c r="AN31" t="s">
        <v>3568</v>
      </c>
      <c r="AO31" t="s">
        <v>408</v>
      </c>
      <c r="AP31">
        <v>100000</v>
      </c>
      <c r="AQ31" t="s">
        <v>409</v>
      </c>
      <c r="AR31" t="s">
        <v>413</v>
      </c>
      <c r="AS31">
        <v>20</v>
      </c>
      <c r="AT31">
        <v>150097</v>
      </c>
      <c r="AU31">
        <v>180</v>
      </c>
      <c r="AV31">
        <v>7.0000000000000007E-2</v>
      </c>
      <c r="AW31">
        <v>14106.79</v>
      </c>
      <c r="AX31" t="s">
        <v>3572</v>
      </c>
      <c r="AY31" s="4" t="s">
        <v>3622</v>
      </c>
      <c r="AZ31" t="s">
        <v>3623</v>
      </c>
      <c r="BA31" t="s">
        <v>22</v>
      </c>
      <c r="BB31" t="s">
        <v>23</v>
      </c>
      <c r="BC31">
        <v>77041</v>
      </c>
      <c r="BD31" t="s">
        <v>67</v>
      </c>
      <c r="BF31" t="s">
        <v>3754</v>
      </c>
      <c r="BG31" t="s">
        <v>3783</v>
      </c>
      <c r="BH31" t="s">
        <v>3527</v>
      </c>
      <c r="BI31" t="s">
        <v>3568</v>
      </c>
      <c r="BJ31" t="s">
        <v>408</v>
      </c>
      <c r="BK31">
        <v>100000</v>
      </c>
      <c r="BL31" t="s">
        <v>409</v>
      </c>
      <c r="BM31" t="s">
        <v>413</v>
      </c>
      <c r="BN31">
        <v>1.79</v>
      </c>
      <c r="BO31">
        <v>13416</v>
      </c>
      <c r="BP31">
        <v>32</v>
      </c>
      <c r="BQ31">
        <v>0.02</v>
      </c>
      <c r="BR31">
        <v>325.60000000000002</v>
      </c>
      <c r="BS31" t="s">
        <v>3572</v>
      </c>
      <c r="BT31" s="4" t="s">
        <v>3622</v>
      </c>
      <c r="BU31" t="s">
        <v>3623</v>
      </c>
      <c r="BV31" t="s">
        <v>22</v>
      </c>
      <c r="BW31" t="s">
        <v>23</v>
      </c>
      <c r="BX31">
        <v>77041</v>
      </c>
      <c r="BY31" t="s">
        <v>67</v>
      </c>
      <c r="CA31" t="s">
        <v>3556</v>
      </c>
      <c r="CB31" t="s">
        <v>3783</v>
      </c>
      <c r="CC31" t="s">
        <v>3527</v>
      </c>
      <c r="CD31" t="s">
        <v>3568</v>
      </c>
      <c r="CE31" t="s">
        <v>408</v>
      </c>
      <c r="CF31">
        <v>100000</v>
      </c>
      <c r="CG31" t="s">
        <v>409</v>
      </c>
      <c r="CH31" t="s">
        <v>413</v>
      </c>
      <c r="CI31">
        <v>11.25</v>
      </c>
      <c r="CJ31">
        <v>84474</v>
      </c>
      <c r="CK31">
        <v>32</v>
      </c>
      <c r="CL31">
        <v>0.02</v>
      </c>
      <c r="CM31">
        <v>3715.4900000000002</v>
      </c>
      <c r="CN31" t="s">
        <v>3572</v>
      </c>
    </row>
    <row r="32" spans="1:218" x14ac:dyDescent="0.25">
      <c r="A32" t="s">
        <v>3784</v>
      </c>
      <c r="B32" t="s">
        <v>3630</v>
      </c>
      <c r="C32" t="s">
        <v>3631</v>
      </c>
      <c r="D32" t="s">
        <v>3518</v>
      </c>
      <c r="E32" t="s">
        <v>3519</v>
      </c>
      <c r="F32" s="14">
        <v>41744</v>
      </c>
      <c r="G32" s="15">
        <v>1637.09</v>
      </c>
      <c r="H32" s="15">
        <v>56343.11</v>
      </c>
      <c r="I32" t="s">
        <v>3520</v>
      </c>
      <c r="J32" s="14">
        <v>41648</v>
      </c>
      <c r="K32" s="14">
        <v>42019</v>
      </c>
      <c r="L32" s="14">
        <v>42029</v>
      </c>
      <c r="M32" s="14">
        <v>42050</v>
      </c>
      <c r="N32" s="15">
        <v>200000</v>
      </c>
      <c r="O32" s="14">
        <v>42036</v>
      </c>
      <c r="P32" s="14">
        <v>42038</v>
      </c>
      <c r="Q32" s="14">
        <v>42040</v>
      </c>
      <c r="R32" s="14">
        <v>42040</v>
      </c>
      <c r="S32" s="15">
        <v>56343.11</v>
      </c>
      <c r="T32" t="s">
        <v>3540</v>
      </c>
      <c r="U32" s="15">
        <v>0</v>
      </c>
      <c r="V32" t="s">
        <v>3577</v>
      </c>
      <c r="W32" t="s">
        <v>3632</v>
      </c>
      <c r="X32">
        <v>99.109999999999985</v>
      </c>
      <c r="Y32">
        <v>424035</v>
      </c>
      <c r="Z32" s="15">
        <v>56343.11</v>
      </c>
      <c r="AD32" s="4" t="s">
        <v>3633</v>
      </c>
      <c r="AE32" t="s">
        <v>3634</v>
      </c>
      <c r="AF32" t="s">
        <v>22</v>
      </c>
      <c r="AG32" t="s">
        <v>23</v>
      </c>
      <c r="AH32">
        <v>77030</v>
      </c>
      <c r="AI32" t="s">
        <v>67</v>
      </c>
      <c r="AK32" t="s">
        <v>3556</v>
      </c>
      <c r="AL32" t="s">
        <v>3783</v>
      </c>
      <c r="AM32" t="s">
        <v>3527</v>
      </c>
      <c r="AN32" t="s">
        <v>3568</v>
      </c>
      <c r="AO32" t="s">
        <v>1227</v>
      </c>
      <c r="AP32">
        <v>100000</v>
      </c>
      <c r="AQ32" t="s">
        <v>3097</v>
      </c>
      <c r="AR32" t="s">
        <v>3101</v>
      </c>
      <c r="AS32">
        <v>11.25</v>
      </c>
      <c r="AT32">
        <v>84474</v>
      </c>
      <c r="AU32">
        <v>32</v>
      </c>
      <c r="AV32">
        <v>0.02</v>
      </c>
      <c r="AW32">
        <v>3715.4900000000002</v>
      </c>
      <c r="AX32" t="s">
        <v>3572</v>
      </c>
      <c r="AY32" s="4" t="s">
        <v>3633</v>
      </c>
      <c r="AZ32" t="s">
        <v>3634</v>
      </c>
      <c r="BA32" t="s">
        <v>22</v>
      </c>
      <c r="BB32" t="s">
        <v>23</v>
      </c>
      <c r="BC32">
        <v>77030</v>
      </c>
      <c r="BD32" t="s">
        <v>67</v>
      </c>
      <c r="BF32" t="s">
        <v>3545</v>
      </c>
      <c r="BG32" t="s">
        <v>3783</v>
      </c>
      <c r="BH32" t="s">
        <v>3527</v>
      </c>
      <c r="BI32" t="s">
        <v>3568</v>
      </c>
      <c r="BJ32" t="s">
        <v>1227</v>
      </c>
      <c r="BK32">
        <v>100000</v>
      </c>
      <c r="BL32" t="s">
        <v>3097</v>
      </c>
      <c r="BM32" t="s">
        <v>3101</v>
      </c>
      <c r="BN32">
        <v>20</v>
      </c>
      <c r="BO32">
        <v>150097</v>
      </c>
      <c r="BP32">
        <v>180</v>
      </c>
      <c r="BQ32">
        <v>7.0000000000000007E-2</v>
      </c>
      <c r="BR32">
        <v>14106.79</v>
      </c>
      <c r="BS32" t="s">
        <v>3572</v>
      </c>
      <c r="BT32" s="4" t="s">
        <v>3633</v>
      </c>
      <c r="BU32" t="s">
        <v>3634</v>
      </c>
      <c r="BV32" t="s">
        <v>22</v>
      </c>
      <c r="BW32" t="s">
        <v>23</v>
      </c>
      <c r="BX32">
        <v>77030</v>
      </c>
      <c r="BY32" t="s">
        <v>67</v>
      </c>
      <c r="CA32" t="s">
        <v>3754</v>
      </c>
      <c r="CB32" t="s">
        <v>3783</v>
      </c>
      <c r="CC32" t="s">
        <v>3527</v>
      </c>
      <c r="CD32" t="s">
        <v>3568</v>
      </c>
      <c r="CE32" t="s">
        <v>1227</v>
      </c>
      <c r="CF32">
        <v>100000</v>
      </c>
      <c r="CG32" t="s">
        <v>3097</v>
      </c>
      <c r="CH32" t="s">
        <v>3101</v>
      </c>
      <c r="CI32">
        <v>1.79</v>
      </c>
      <c r="CJ32">
        <v>13416</v>
      </c>
      <c r="CK32">
        <v>32</v>
      </c>
      <c r="CL32">
        <v>0.02</v>
      </c>
      <c r="CM32">
        <v>325.60000000000002</v>
      </c>
      <c r="CN32" t="s">
        <v>3572</v>
      </c>
      <c r="CO32" s="4" t="s">
        <v>3633</v>
      </c>
      <c r="CP32" t="s">
        <v>3634</v>
      </c>
      <c r="CQ32" t="s">
        <v>22</v>
      </c>
      <c r="CR32" t="s">
        <v>23</v>
      </c>
      <c r="CS32">
        <v>77030</v>
      </c>
      <c r="CT32" t="s">
        <v>67</v>
      </c>
      <c r="CV32" t="s">
        <v>3525</v>
      </c>
      <c r="CW32" t="s">
        <v>3630</v>
      </c>
      <c r="CX32" t="s">
        <v>3527</v>
      </c>
      <c r="CY32" t="s">
        <v>3785</v>
      </c>
      <c r="CZ32" t="s">
        <v>1227</v>
      </c>
      <c r="DB32" t="s">
        <v>3097</v>
      </c>
      <c r="DC32" t="s">
        <v>3101</v>
      </c>
      <c r="DD32">
        <v>66.069999999999993</v>
      </c>
      <c r="DE32">
        <v>176048</v>
      </c>
      <c r="DF32">
        <v>285</v>
      </c>
      <c r="DG32">
        <v>0.11</v>
      </c>
      <c r="DH32">
        <v>38195.229999999996</v>
      </c>
      <c r="DI32" t="s">
        <v>3532</v>
      </c>
    </row>
    <row r="33" spans="1:113" x14ac:dyDescent="0.25">
      <c r="A33" t="s">
        <v>3786</v>
      </c>
      <c r="B33" t="s">
        <v>3787</v>
      </c>
      <c r="C33" t="s">
        <v>3757</v>
      </c>
      <c r="D33" t="s">
        <v>3518</v>
      </c>
      <c r="E33" t="s">
        <v>3539</v>
      </c>
      <c r="F33" s="14">
        <v>41760</v>
      </c>
      <c r="G33" s="15">
        <v>1000</v>
      </c>
      <c r="H33" s="15">
        <v>12000</v>
      </c>
      <c r="I33" t="s">
        <v>3609</v>
      </c>
      <c r="J33" s="14">
        <v>42005</v>
      </c>
      <c r="K33" s="14">
        <v>41649</v>
      </c>
      <c r="L33" s="14">
        <v>41654</v>
      </c>
      <c r="T33" t="s">
        <v>3769</v>
      </c>
      <c r="U33" s="15">
        <v>12000</v>
      </c>
      <c r="V33" t="s">
        <v>3620</v>
      </c>
      <c r="W33" t="s">
        <v>3758</v>
      </c>
      <c r="X33">
        <v>65.510000000000005</v>
      </c>
      <c r="Y33">
        <v>303133</v>
      </c>
      <c r="Z33" s="15">
        <v>15964.39</v>
      </c>
      <c r="AD33" s="4" t="s">
        <v>3788</v>
      </c>
      <c r="AE33" t="s">
        <v>3789</v>
      </c>
      <c r="AF33" t="s">
        <v>1126</v>
      </c>
      <c r="AG33" t="s">
        <v>23</v>
      </c>
      <c r="AH33">
        <v>77002</v>
      </c>
      <c r="AI33" t="s">
        <v>67</v>
      </c>
      <c r="AK33" t="s">
        <v>3556</v>
      </c>
      <c r="AL33" t="s">
        <v>3790</v>
      </c>
      <c r="AM33" t="s">
        <v>3527</v>
      </c>
      <c r="AN33" t="s">
        <v>3613</v>
      </c>
      <c r="AO33" t="s">
        <v>39</v>
      </c>
      <c r="AP33">
        <v>300000</v>
      </c>
      <c r="AQ33" t="s">
        <v>40</v>
      </c>
      <c r="AR33" t="s">
        <v>44</v>
      </c>
      <c r="AS33">
        <v>65.510000000000005</v>
      </c>
      <c r="AT33">
        <v>303133</v>
      </c>
      <c r="AW33">
        <v>15964.39</v>
      </c>
      <c r="AX33" t="s">
        <v>3532</v>
      </c>
    </row>
    <row r="34" spans="1:113" x14ac:dyDescent="0.25">
      <c r="A34" t="s">
        <v>3791</v>
      </c>
      <c r="B34" t="s">
        <v>3792</v>
      </c>
      <c r="C34" t="s">
        <v>3793</v>
      </c>
      <c r="D34" t="s">
        <v>3518</v>
      </c>
      <c r="E34" t="s">
        <v>3539</v>
      </c>
      <c r="F34" s="14">
        <v>42339</v>
      </c>
      <c r="G34" s="15">
        <v>1000</v>
      </c>
      <c r="H34" s="14">
        <v>42019</v>
      </c>
      <c r="I34" t="s">
        <v>3520</v>
      </c>
      <c r="J34" s="14">
        <v>42353</v>
      </c>
      <c r="V34" t="s">
        <v>3577</v>
      </c>
      <c r="W34" t="s">
        <v>3794</v>
      </c>
      <c r="X34">
        <v>44.29</v>
      </c>
      <c r="Y34">
        <v>332461</v>
      </c>
      <c r="Z34" s="15">
        <v>21863.37</v>
      </c>
      <c r="AD34" s="4" t="s">
        <v>3795</v>
      </c>
      <c r="AE34" t="s">
        <v>3796</v>
      </c>
      <c r="AF34" t="s">
        <v>22</v>
      </c>
      <c r="AG34" t="s">
        <v>23</v>
      </c>
      <c r="AH34">
        <v>77010</v>
      </c>
      <c r="AI34" t="s">
        <v>67</v>
      </c>
      <c r="AK34" t="s">
        <v>3545</v>
      </c>
      <c r="AL34" t="s">
        <v>3783</v>
      </c>
      <c r="AM34" t="s">
        <v>3527</v>
      </c>
      <c r="AN34" t="s">
        <v>3568</v>
      </c>
      <c r="AO34" t="s">
        <v>56</v>
      </c>
      <c r="AP34">
        <v>100000</v>
      </c>
      <c r="AQ34" t="s">
        <v>57</v>
      </c>
      <c r="AR34" t="s">
        <v>62</v>
      </c>
      <c r="AS34">
        <v>20</v>
      </c>
      <c r="AT34">
        <v>150097</v>
      </c>
      <c r="AU34">
        <v>180</v>
      </c>
      <c r="AV34">
        <v>7.0000000000000007E-2</v>
      </c>
      <c r="AW34">
        <v>14106.79</v>
      </c>
      <c r="AX34" t="s">
        <v>3572</v>
      </c>
      <c r="AY34" s="4" t="s">
        <v>3795</v>
      </c>
      <c r="AZ34" t="s">
        <v>3796</v>
      </c>
      <c r="BA34" t="s">
        <v>22</v>
      </c>
      <c r="BB34" t="s">
        <v>23</v>
      </c>
      <c r="BC34">
        <v>77010</v>
      </c>
      <c r="BD34" t="s">
        <v>67</v>
      </c>
      <c r="BF34" t="s">
        <v>3754</v>
      </c>
      <c r="BG34" t="s">
        <v>3783</v>
      </c>
      <c r="BH34" t="s">
        <v>3527</v>
      </c>
      <c r="BI34" t="s">
        <v>3568</v>
      </c>
      <c r="BJ34" t="s">
        <v>56</v>
      </c>
      <c r="BK34">
        <v>100000</v>
      </c>
      <c r="BL34" t="s">
        <v>57</v>
      </c>
      <c r="BM34" t="s">
        <v>62</v>
      </c>
      <c r="BN34">
        <v>1.79</v>
      </c>
      <c r="BO34">
        <v>13416</v>
      </c>
      <c r="BP34">
        <v>32</v>
      </c>
      <c r="BQ34">
        <v>0.02</v>
      </c>
      <c r="BR34">
        <v>325.60000000000002</v>
      </c>
      <c r="BS34" t="s">
        <v>3572</v>
      </c>
      <c r="BT34" s="4" t="s">
        <v>3795</v>
      </c>
      <c r="BU34" t="s">
        <v>3796</v>
      </c>
      <c r="BV34" t="s">
        <v>22</v>
      </c>
      <c r="BW34" t="s">
        <v>23</v>
      </c>
      <c r="BX34">
        <v>77010</v>
      </c>
      <c r="BY34" t="s">
        <v>67</v>
      </c>
      <c r="CA34" t="s">
        <v>3556</v>
      </c>
      <c r="CB34" t="s">
        <v>3783</v>
      </c>
      <c r="CC34" t="s">
        <v>3527</v>
      </c>
      <c r="CD34" t="s">
        <v>3568</v>
      </c>
      <c r="CE34" t="s">
        <v>56</v>
      </c>
      <c r="CF34">
        <v>100000</v>
      </c>
      <c r="CG34" t="s">
        <v>57</v>
      </c>
      <c r="CH34" t="s">
        <v>62</v>
      </c>
      <c r="CI34">
        <v>11.25</v>
      </c>
      <c r="CJ34">
        <v>84474</v>
      </c>
      <c r="CK34">
        <v>32</v>
      </c>
      <c r="CL34">
        <v>0.02</v>
      </c>
      <c r="CM34">
        <v>3715.4900000000002</v>
      </c>
      <c r="CN34" t="s">
        <v>3572</v>
      </c>
      <c r="CO34" s="4" t="s">
        <v>3795</v>
      </c>
      <c r="CP34" t="s">
        <v>3796</v>
      </c>
      <c r="CQ34" t="s">
        <v>22</v>
      </c>
      <c r="CR34" t="s">
        <v>23</v>
      </c>
      <c r="CS34">
        <v>77010</v>
      </c>
      <c r="CT34" t="s">
        <v>67</v>
      </c>
      <c r="CV34" t="s">
        <v>3556</v>
      </c>
      <c r="CW34" t="s">
        <v>3783</v>
      </c>
      <c r="CX34" t="s">
        <v>3527</v>
      </c>
      <c r="CY34" t="s">
        <v>3568</v>
      </c>
      <c r="CZ34" t="s">
        <v>56</v>
      </c>
      <c r="DA34">
        <v>100000</v>
      </c>
      <c r="DB34" t="s">
        <v>57</v>
      </c>
      <c r="DC34" t="s">
        <v>62</v>
      </c>
      <c r="DD34">
        <v>11.25</v>
      </c>
      <c r="DE34">
        <v>84474</v>
      </c>
      <c r="DF34">
        <v>32</v>
      </c>
      <c r="DG34">
        <v>0.02</v>
      </c>
      <c r="DH34">
        <v>3715.4900000000002</v>
      </c>
      <c r="DI34" t="s">
        <v>3572</v>
      </c>
    </row>
    <row r="35" spans="1:113" x14ac:dyDescent="0.25">
      <c r="A35" t="s">
        <v>3797</v>
      </c>
      <c r="B35" t="s">
        <v>3792</v>
      </c>
      <c r="C35" t="s">
        <v>3793</v>
      </c>
      <c r="D35" t="s">
        <v>3518</v>
      </c>
      <c r="E35" t="s">
        <v>3539</v>
      </c>
      <c r="F35" s="14">
        <v>42339</v>
      </c>
      <c r="G35" s="15">
        <v>1000</v>
      </c>
      <c r="H35" s="14">
        <v>42019</v>
      </c>
      <c r="I35" t="s">
        <v>3520</v>
      </c>
      <c r="J35" s="14">
        <v>42353</v>
      </c>
      <c r="V35" t="s">
        <v>3577</v>
      </c>
      <c r="W35" t="s">
        <v>3794</v>
      </c>
      <c r="X35">
        <v>44.29</v>
      </c>
      <c r="Y35">
        <v>332461</v>
      </c>
      <c r="Z35" s="15">
        <v>21863.37</v>
      </c>
      <c r="AD35" s="4" t="s">
        <v>3795</v>
      </c>
      <c r="AE35" t="s">
        <v>3796</v>
      </c>
      <c r="AF35" t="s">
        <v>22</v>
      </c>
      <c r="AG35" t="s">
        <v>23</v>
      </c>
      <c r="AH35">
        <v>77010</v>
      </c>
      <c r="AI35" t="s">
        <v>67</v>
      </c>
      <c r="AK35" t="s">
        <v>3545</v>
      </c>
      <c r="AL35" t="s">
        <v>3783</v>
      </c>
      <c r="AM35" t="s">
        <v>3527</v>
      </c>
      <c r="AN35" t="s">
        <v>3568</v>
      </c>
      <c r="AO35" t="s">
        <v>56</v>
      </c>
      <c r="AP35">
        <v>100000</v>
      </c>
      <c r="AQ35" t="s">
        <v>57</v>
      </c>
      <c r="AR35" t="s">
        <v>62</v>
      </c>
      <c r="AS35">
        <v>20</v>
      </c>
      <c r="AT35">
        <v>150097</v>
      </c>
      <c r="AU35">
        <v>180</v>
      </c>
      <c r="AV35">
        <v>7.0000000000000007E-2</v>
      </c>
      <c r="AW35">
        <v>14106.79</v>
      </c>
      <c r="AX35" t="s">
        <v>3572</v>
      </c>
      <c r="AY35" s="4" t="s">
        <v>3795</v>
      </c>
      <c r="AZ35" t="s">
        <v>3796</v>
      </c>
      <c r="BA35" t="s">
        <v>22</v>
      </c>
      <c r="BB35" t="s">
        <v>23</v>
      </c>
      <c r="BC35">
        <v>77010</v>
      </c>
      <c r="BD35" t="s">
        <v>67</v>
      </c>
      <c r="BF35" t="s">
        <v>3754</v>
      </c>
      <c r="BG35" t="s">
        <v>3783</v>
      </c>
      <c r="BH35" t="s">
        <v>3527</v>
      </c>
      <c r="BI35" t="s">
        <v>3568</v>
      </c>
      <c r="BJ35" t="s">
        <v>56</v>
      </c>
      <c r="BK35">
        <v>100000</v>
      </c>
      <c r="BL35" t="s">
        <v>57</v>
      </c>
      <c r="BM35" t="s">
        <v>62</v>
      </c>
      <c r="BN35">
        <v>1.79</v>
      </c>
      <c r="BO35">
        <v>13416</v>
      </c>
      <c r="BP35">
        <v>32</v>
      </c>
      <c r="BQ35">
        <v>0.02</v>
      </c>
      <c r="BR35">
        <v>325.60000000000002</v>
      </c>
      <c r="BS35" t="s">
        <v>3572</v>
      </c>
      <c r="BT35" s="4" t="s">
        <v>3795</v>
      </c>
      <c r="BU35" t="s">
        <v>3796</v>
      </c>
      <c r="BV35" t="s">
        <v>22</v>
      </c>
      <c r="BW35" t="s">
        <v>23</v>
      </c>
      <c r="BX35">
        <v>77010</v>
      </c>
      <c r="BY35" t="s">
        <v>67</v>
      </c>
      <c r="CA35" t="s">
        <v>3556</v>
      </c>
      <c r="CB35" t="s">
        <v>3783</v>
      </c>
      <c r="CC35" t="s">
        <v>3527</v>
      </c>
      <c r="CD35" t="s">
        <v>3568</v>
      </c>
      <c r="CE35" t="s">
        <v>56</v>
      </c>
      <c r="CF35">
        <v>100000</v>
      </c>
      <c r="CG35" t="s">
        <v>57</v>
      </c>
      <c r="CH35" t="s">
        <v>62</v>
      </c>
      <c r="CI35">
        <v>11.25</v>
      </c>
      <c r="CJ35">
        <v>84474</v>
      </c>
      <c r="CK35">
        <v>32</v>
      </c>
      <c r="CL35">
        <v>0.02</v>
      </c>
      <c r="CM35">
        <v>3715.4900000000002</v>
      </c>
      <c r="CN35" t="s">
        <v>3572</v>
      </c>
      <c r="CO35" s="4" t="s">
        <v>3795</v>
      </c>
      <c r="CP35" t="s">
        <v>3796</v>
      </c>
      <c r="CQ35" t="s">
        <v>22</v>
      </c>
      <c r="CR35" t="s">
        <v>23</v>
      </c>
      <c r="CS35">
        <v>77010</v>
      </c>
      <c r="CT35" t="s">
        <v>67</v>
      </c>
      <c r="CV35" t="s">
        <v>3556</v>
      </c>
      <c r="CW35" t="s">
        <v>3783</v>
      </c>
      <c r="CX35" t="s">
        <v>3527</v>
      </c>
      <c r="CY35" t="s">
        <v>3568</v>
      </c>
      <c r="CZ35" t="s">
        <v>56</v>
      </c>
      <c r="DA35">
        <v>100000</v>
      </c>
      <c r="DB35" t="s">
        <v>57</v>
      </c>
      <c r="DC35" t="s">
        <v>62</v>
      </c>
      <c r="DD35">
        <v>11.25</v>
      </c>
      <c r="DE35">
        <v>84474</v>
      </c>
      <c r="DF35">
        <v>32</v>
      </c>
      <c r="DG35">
        <v>0.02</v>
      </c>
      <c r="DH35">
        <v>3715.4900000000002</v>
      </c>
      <c r="DI35" t="s">
        <v>3572</v>
      </c>
    </row>
    <row r="36" spans="1:113" x14ac:dyDescent="0.25">
      <c r="A36" t="s">
        <v>3798</v>
      </c>
      <c r="B36" t="s">
        <v>3792</v>
      </c>
      <c r="C36" t="s">
        <v>3793</v>
      </c>
      <c r="D36" t="s">
        <v>3518</v>
      </c>
      <c r="E36" t="s">
        <v>3539</v>
      </c>
      <c r="F36" s="14">
        <v>42339</v>
      </c>
      <c r="G36" s="15">
        <v>1000</v>
      </c>
      <c r="H36" s="14">
        <v>42019</v>
      </c>
      <c r="I36" t="s">
        <v>3520</v>
      </c>
      <c r="J36" s="14">
        <v>42353</v>
      </c>
      <c r="V36" t="s">
        <v>3577</v>
      </c>
      <c r="W36" t="s">
        <v>3794</v>
      </c>
      <c r="X36">
        <v>44.29</v>
      </c>
      <c r="Y36">
        <v>332461</v>
      </c>
      <c r="Z36" s="15">
        <v>21863.37</v>
      </c>
      <c r="AD36" s="4" t="s">
        <v>3795</v>
      </c>
      <c r="AE36" t="s">
        <v>3796</v>
      </c>
      <c r="AF36" t="s">
        <v>22</v>
      </c>
      <c r="AG36" t="s">
        <v>23</v>
      </c>
      <c r="AH36">
        <v>77010</v>
      </c>
      <c r="AI36" t="s">
        <v>67</v>
      </c>
      <c r="AK36" t="s">
        <v>3545</v>
      </c>
      <c r="AL36" t="s">
        <v>3783</v>
      </c>
      <c r="AM36" t="s">
        <v>3527</v>
      </c>
      <c r="AN36" t="s">
        <v>3568</v>
      </c>
      <c r="AO36" t="s">
        <v>56</v>
      </c>
      <c r="AP36">
        <v>100000</v>
      </c>
      <c r="AQ36" t="s">
        <v>57</v>
      </c>
      <c r="AR36" t="s">
        <v>62</v>
      </c>
      <c r="AS36">
        <v>20</v>
      </c>
      <c r="AT36">
        <v>150097</v>
      </c>
      <c r="AU36">
        <v>180</v>
      </c>
      <c r="AV36">
        <v>7.0000000000000007E-2</v>
      </c>
      <c r="AW36">
        <v>14106.79</v>
      </c>
      <c r="AX36" t="s">
        <v>3572</v>
      </c>
      <c r="AY36" s="4" t="s">
        <v>3795</v>
      </c>
      <c r="AZ36" t="s">
        <v>3796</v>
      </c>
      <c r="BA36" t="s">
        <v>22</v>
      </c>
      <c r="BB36" t="s">
        <v>23</v>
      </c>
      <c r="BC36">
        <v>77010</v>
      </c>
      <c r="BD36" t="s">
        <v>67</v>
      </c>
      <c r="BF36" t="s">
        <v>3754</v>
      </c>
      <c r="BG36" t="s">
        <v>3783</v>
      </c>
      <c r="BH36" t="s">
        <v>3527</v>
      </c>
      <c r="BI36" t="s">
        <v>3568</v>
      </c>
      <c r="BJ36" t="s">
        <v>56</v>
      </c>
      <c r="BK36">
        <v>100000</v>
      </c>
      <c r="BL36" t="s">
        <v>57</v>
      </c>
      <c r="BM36" t="s">
        <v>62</v>
      </c>
      <c r="BN36">
        <v>1.79</v>
      </c>
      <c r="BO36">
        <v>13416</v>
      </c>
      <c r="BP36">
        <v>32</v>
      </c>
      <c r="BQ36">
        <v>0.02</v>
      </c>
      <c r="BR36">
        <v>325.60000000000002</v>
      </c>
      <c r="BS36" t="s">
        <v>3572</v>
      </c>
      <c r="BT36" s="4" t="s">
        <v>3795</v>
      </c>
      <c r="BU36" t="s">
        <v>3796</v>
      </c>
      <c r="BV36" t="s">
        <v>22</v>
      </c>
      <c r="BW36" t="s">
        <v>23</v>
      </c>
      <c r="BX36">
        <v>77010</v>
      </c>
      <c r="BY36" t="s">
        <v>67</v>
      </c>
      <c r="CA36" t="s">
        <v>3556</v>
      </c>
      <c r="CB36" t="s">
        <v>3783</v>
      </c>
      <c r="CC36" t="s">
        <v>3527</v>
      </c>
      <c r="CD36" t="s">
        <v>3568</v>
      </c>
      <c r="CE36" t="s">
        <v>56</v>
      </c>
      <c r="CF36">
        <v>100000</v>
      </c>
      <c r="CG36" t="s">
        <v>57</v>
      </c>
      <c r="CH36" t="s">
        <v>62</v>
      </c>
      <c r="CI36">
        <v>11.25</v>
      </c>
      <c r="CJ36">
        <v>84474</v>
      </c>
      <c r="CK36">
        <v>32</v>
      </c>
      <c r="CL36">
        <v>0.02</v>
      </c>
      <c r="CM36">
        <v>3715.4900000000002</v>
      </c>
      <c r="CN36" t="s">
        <v>3572</v>
      </c>
      <c r="CO36" s="4" t="s">
        <v>3795</v>
      </c>
      <c r="CP36" t="s">
        <v>3796</v>
      </c>
      <c r="CQ36" t="s">
        <v>22</v>
      </c>
      <c r="CR36" t="s">
        <v>23</v>
      </c>
      <c r="CS36">
        <v>77010</v>
      </c>
      <c r="CT36" t="s">
        <v>67</v>
      </c>
      <c r="CV36" t="s">
        <v>3556</v>
      </c>
      <c r="CW36" t="s">
        <v>3783</v>
      </c>
      <c r="CX36" t="s">
        <v>3527</v>
      </c>
      <c r="CY36" t="s">
        <v>3568</v>
      </c>
      <c r="CZ36" t="s">
        <v>56</v>
      </c>
      <c r="DA36">
        <v>100000</v>
      </c>
      <c r="DB36" t="s">
        <v>57</v>
      </c>
      <c r="DC36" t="s">
        <v>62</v>
      </c>
      <c r="DD36">
        <v>11.25</v>
      </c>
      <c r="DE36">
        <v>84474</v>
      </c>
      <c r="DF36">
        <v>32</v>
      </c>
      <c r="DG36">
        <v>0.02</v>
      </c>
      <c r="DH36">
        <v>3715.4900000000002</v>
      </c>
      <c r="DI36" t="s">
        <v>3572</v>
      </c>
    </row>
    <row r="37" spans="1:113" x14ac:dyDescent="0.25">
      <c r="A37" t="s">
        <v>3799</v>
      </c>
      <c r="B37" t="s">
        <v>3800</v>
      </c>
      <c r="C37" t="s">
        <v>3793</v>
      </c>
      <c r="D37" t="s">
        <v>3518</v>
      </c>
      <c r="E37" t="s">
        <v>3539</v>
      </c>
      <c r="F37" s="14">
        <v>42339</v>
      </c>
      <c r="G37" s="15">
        <v>1000</v>
      </c>
      <c r="H37" s="14">
        <v>42019</v>
      </c>
      <c r="I37" t="s">
        <v>3520</v>
      </c>
      <c r="J37" s="14">
        <v>42353</v>
      </c>
      <c r="V37" t="s">
        <v>3577</v>
      </c>
      <c r="W37" t="s">
        <v>3794</v>
      </c>
      <c r="X37">
        <v>44.29</v>
      </c>
      <c r="Y37">
        <v>332461</v>
      </c>
      <c r="Z37" s="15">
        <v>21863.37</v>
      </c>
      <c r="AD37" s="4" t="s">
        <v>3795</v>
      </c>
      <c r="AE37" t="s">
        <v>3796</v>
      </c>
      <c r="AF37" t="s">
        <v>22</v>
      </c>
      <c r="AG37" t="s">
        <v>23</v>
      </c>
      <c r="AH37">
        <v>77010</v>
      </c>
      <c r="AI37" t="s">
        <v>67</v>
      </c>
      <c r="AK37" t="s">
        <v>3545</v>
      </c>
      <c r="AL37" t="s">
        <v>3783</v>
      </c>
      <c r="AM37" t="s">
        <v>3527</v>
      </c>
      <c r="AN37" t="s">
        <v>3568</v>
      </c>
      <c r="AO37" t="s">
        <v>56</v>
      </c>
      <c r="AP37">
        <v>100000</v>
      </c>
      <c r="AQ37" t="s">
        <v>57</v>
      </c>
      <c r="AR37" t="s">
        <v>62</v>
      </c>
      <c r="AS37">
        <v>20</v>
      </c>
      <c r="AT37">
        <v>150097</v>
      </c>
      <c r="AU37">
        <v>180</v>
      </c>
      <c r="AV37">
        <v>7.0000000000000007E-2</v>
      </c>
      <c r="AW37">
        <v>14106.79</v>
      </c>
      <c r="AX37" t="s">
        <v>3572</v>
      </c>
      <c r="AY37" s="4" t="s">
        <v>3795</v>
      </c>
      <c r="AZ37" t="s">
        <v>3796</v>
      </c>
      <c r="BA37" t="s">
        <v>22</v>
      </c>
      <c r="BB37" t="s">
        <v>23</v>
      </c>
      <c r="BC37">
        <v>77010</v>
      </c>
      <c r="BD37" t="s">
        <v>67</v>
      </c>
      <c r="BF37" t="s">
        <v>3754</v>
      </c>
      <c r="BG37" t="s">
        <v>3783</v>
      </c>
      <c r="BH37" t="s">
        <v>3527</v>
      </c>
      <c r="BI37" t="s">
        <v>3568</v>
      </c>
      <c r="BJ37" t="s">
        <v>56</v>
      </c>
      <c r="BK37">
        <v>100000</v>
      </c>
      <c r="BL37" t="s">
        <v>57</v>
      </c>
      <c r="BM37" t="s">
        <v>62</v>
      </c>
      <c r="BN37">
        <v>1.79</v>
      </c>
      <c r="BO37">
        <v>13416</v>
      </c>
      <c r="BP37">
        <v>32</v>
      </c>
      <c r="BQ37">
        <v>0.02</v>
      </c>
      <c r="BR37">
        <v>325.60000000000002</v>
      </c>
      <c r="BS37" t="s">
        <v>3572</v>
      </c>
      <c r="BT37" s="4" t="s">
        <v>3795</v>
      </c>
      <c r="BU37" t="s">
        <v>3796</v>
      </c>
      <c r="BV37" t="s">
        <v>22</v>
      </c>
      <c r="BW37" t="s">
        <v>23</v>
      </c>
      <c r="BX37">
        <v>77010</v>
      </c>
      <c r="BY37" t="s">
        <v>67</v>
      </c>
      <c r="CA37" t="s">
        <v>3556</v>
      </c>
      <c r="CB37" t="s">
        <v>3783</v>
      </c>
      <c r="CC37" t="s">
        <v>3527</v>
      </c>
      <c r="CD37" t="s">
        <v>3568</v>
      </c>
      <c r="CE37" t="s">
        <v>56</v>
      </c>
      <c r="CF37">
        <v>100000</v>
      </c>
      <c r="CG37" t="s">
        <v>57</v>
      </c>
      <c r="CH37" t="s">
        <v>62</v>
      </c>
      <c r="CI37">
        <v>11.25</v>
      </c>
      <c r="CJ37">
        <v>84474</v>
      </c>
      <c r="CK37">
        <v>32</v>
      </c>
      <c r="CL37">
        <v>0.02</v>
      </c>
      <c r="CM37">
        <v>3715.4900000000002</v>
      </c>
      <c r="CN37" t="s">
        <v>3572</v>
      </c>
      <c r="CO37" s="4" t="s">
        <v>3795</v>
      </c>
      <c r="CP37" t="s">
        <v>3796</v>
      </c>
      <c r="CQ37" t="s">
        <v>22</v>
      </c>
      <c r="CR37" t="s">
        <v>23</v>
      </c>
      <c r="CS37">
        <v>77010</v>
      </c>
      <c r="CT37" t="s">
        <v>67</v>
      </c>
      <c r="CV37" t="s">
        <v>3556</v>
      </c>
      <c r="CW37" t="s">
        <v>3783</v>
      </c>
      <c r="CX37" t="s">
        <v>3527</v>
      </c>
      <c r="CY37" t="s">
        <v>3568</v>
      </c>
      <c r="CZ37" t="s">
        <v>56</v>
      </c>
      <c r="DA37">
        <v>100000</v>
      </c>
      <c r="DB37" t="s">
        <v>57</v>
      </c>
      <c r="DC37" t="s">
        <v>62</v>
      </c>
      <c r="DD37">
        <v>11.25</v>
      </c>
      <c r="DE37">
        <v>84474</v>
      </c>
      <c r="DF37">
        <v>32</v>
      </c>
      <c r="DG37">
        <v>0.02</v>
      </c>
      <c r="DH37">
        <v>3715.4900000000002</v>
      </c>
      <c r="DI37" t="s">
        <v>3572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500"/>
  <sheetViews>
    <sheetView topLeftCell="B1" zoomScale="80" zoomScaleNormal="80" workbookViewId="0">
      <pane ySplit="1" topLeftCell="A344" activePane="bottomLeft" state="frozen"/>
      <selection activeCell="B1" sqref="B1"/>
      <selection pane="bottomLeft" activeCell="C353" sqref="C353"/>
    </sheetView>
  </sheetViews>
  <sheetFormatPr defaultRowHeight="15" x14ac:dyDescent="0.25"/>
  <cols>
    <col min="1" max="1" width="17.5703125" customWidth="1"/>
    <col min="2" max="2" width="10.7109375" bestFit="1" customWidth="1"/>
    <col min="3" max="3" width="42.28515625" bestFit="1" customWidth="1"/>
    <col min="4" max="4" width="32.85546875" bestFit="1" customWidth="1"/>
    <col min="5" max="5" width="18.7109375" bestFit="1" customWidth="1"/>
    <col min="6" max="6" width="5.5703125" bestFit="1" customWidth="1"/>
    <col min="7" max="7" width="10.7109375" bestFit="1" customWidth="1"/>
    <col min="8" max="8" width="12.42578125" bestFit="1" customWidth="1"/>
    <col min="9" max="9" width="14.28515625" bestFit="1" customWidth="1"/>
    <col min="10" max="10" width="45.85546875" bestFit="1" customWidth="1"/>
    <col min="14" max="14" width="11.5703125" bestFit="1" customWidth="1"/>
    <col min="15" max="15" width="13.42578125" bestFit="1" customWidth="1"/>
    <col min="17" max="17" width="50.28515625" bestFit="1" customWidth="1"/>
  </cols>
  <sheetData>
    <row r="1" spans="1:17" s="2" customFormat="1" x14ac:dyDescent="0.25">
      <c r="A1" s="1">
        <f>COUNTA($B1:$B$5000)-1</f>
        <v>439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</row>
    <row r="2" spans="1:17" x14ac:dyDescent="0.25">
      <c r="A2" s="3" t="str">
        <f t="shared" ref="A2:A65" si="0">IF(B2="","",B2&amp;"-"&amp;D2)</f>
        <v>414-2555 Central Parkway LLC</v>
      </c>
      <c r="B2" s="3">
        <v>414</v>
      </c>
      <c r="C2" s="3" t="s">
        <v>16</v>
      </c>
      <c r="D2" s="3" t="s">
        <v>17</v>
      </c>
      <c r="E2" s="3"/>
      <c r="F2" s="3"/>
      <c r="G2" s="3" t="s">
        <v>18</v>
      </c>
      <c r="H2" s="3" t="s">
        <v>19</v>
      </c>
      <c r="I2" s="3" t="s">
        <v>20</v>
      </c>
      <c r="J2" s="3" t="s">
        <v>21</v>
      </c>
      <c r="L2" t="s">
        <v>22</v>
      </c>
      <c r="M2" t="s">
        <v>23</v>
      </c>
      <c r="N2">
        <v>77092</v>
      </c>
      <c r="O2" t="s">
        <v>24</v>
      </c>
      <c r="Q2" t="s">
        <v>25</v>
      </c>
    </row>
    <row r="3" spans="1:17" x14ac:dyDescent="0.25">
      <c r="A3" s="3" t="str">
        <f t="shared" si="0"/>
        <v>568-2555 Central Parkway LLC</v>
      </c>
      <c r="B3" s="3">
        <v>568</v>
      </c>
      <c r="C3" s="3" t="s">
        <v>26</v>
      </c>
      <c r="D3" s="3" t="s">
        <v>17</v>
      </c>
      <c r="E3" s="3"/>
      <c r="F3" s="3"/>
      <c r="G3" s="3" t="s">
        <v>18</v>
      </c>
      <c r="H3" s="3" t="s">
        <v>19</v>
      </c>
      <c r="I3" s="3" t="s">
        <v>20</v>
      </c>
      <c r="J3" s="3" t="s">
        <v>27</v>
      </c>
      <c r="L3" t="s">
        <v>22</v>
      </c>
      <c r="M3" t="s">
        <v>23</v>
      </c>
      <c r="N3">
        <v>77092</v>
      </c>
      <c r="O3" t="s">
        <v>24</v>
      </c>
      <c r="Q3" t="s">
        <v>25</v>
      </c>
    </row>
    <row r="4" spans="1:17" x14ac:dyDescent="0.25">
      <c r="A4" s="3" t="str">
        <f t="shared" si="0"/>
        <v>470-3010 Briarpark Tenant, LP</v>
      </c>
      <c r="B4" s="3">
        <v>470</v>
      </c>
      <c r="C4" s="3" t="s">
        <v>28</v>
      </c>
      <c r="D4" s="3" t="s">
        <v>29</v>
      </c>
      <c r="E4" s="3"/>
      <c r="F4" s="3"/>
      <c r="G4" s="3" t="s">
        <v>30</v>
      </c>
      <c r="H4" s="3" t="s">
        <v>31</v>
      </c>
      <c r="I4" s="3" t="s">
        <v>32</v>
      </c>
      <c r="J4" s="3" t="s">
        <v>33</v>
      </c>
      <c r="K4" t="s">
        <v>34</v>
      </c>
      <c r="L4" t="s">
        <v>22</v>
      </c>
      <c r="M4" t="s">
        <v>23</v>
      </c>
      <c r="N4">
        <v>77042</v>
      </c>
      <c r="O4" t="s">
        <v>35</v>
      </c>
      <c r="Q4" t="s">
        <v>36</v>
      </c>
    </row>
    <row r="5" spans="1:17" x14ac:dyDescent="0.25">
      <c r="A5" s="3" t="str">
        <f t="shared" si="0"/>
        <v>427-3M</v>
      </c>
      <c r="B5" s="3">
        <v>427</v>
      </c>
      <c r="C5" s="3" t="s">
        <v>37</v>
      </c>
      <c r="D5" s="3" t="s">
        <v>38</v>
      </c>
      <c r="E5" s="3"/>
      <c r="F5" s="3"/>
      <c r="G5" s="3" t="s">
        <v>39</v>
      </c>
      <c r="H5" s="3" t="s">
        <v>40</v>
      </c>
      <c r="I5" s="3" t="s">
        <v>41</v>
      </c>
      <c r="J5" s="3" t="s">
        <v>42</v>
      </c>
      <c r="L5" t="s">
        <v>22</v>
      </c>
      <c r="M5" t="s">
        <v>23</v>
      </c>
      <c r="N5">
        <v>77055</v>
      </c>
      <c r="O5" t="s">
        <v>43</v>
      </c>
      <c r="Q5" t="s">
        <v>44</v>
      </c>
    </row>
    <row r="6" spans="1:17" x14ac:dyDescent="0.25">
      <c r="A6" s="3" t="str">
        <f t="shared" si="0"/>
        <v>412-411 Energy Inc.</v>
      </c>
      <c r="B6" s="3">
        <v>412</v>
      </c>
      <c r="C6" s="3" t="s">
        <v>45</v>
      </c>
      <c r="D6" s="3" t="s">
        <v>46</v>
      </c>
      <c r="E6" s="3"/>
      <c r="F6" s="3"/>
      <c r="G6" s="3" t="s">
        <v>47</v>
      </c>
      <c r="H6" s="3" t="s">
        <v>48</v>
      </c>
      <c r="I6" s="3" t="s">
        <v>49</v>
      </c>
      <c r="J6" s="3" t="s">
        <v>50</v>
      </c>
      <c r="L6" t="s">
        <v>51</v>
      </c>
      <c r="M6" t="s">
        <v>23</v>
      </c>
      <c r="N6">
        <v>76310</v>
      </c>
      <c r="O6" t="s">
        <v>52</v>
      </c>
      <c r="P6">
        <v>8882884227</v>
      </c>
      <c r="Q6" t="s">
        <v>53</v>
      </c>
    </row>
    <row r="7" spans="1:17" x14ac:dyDescent="0.25">
      <c r="A7" s="3" t="str">
        <f t="shared" si="0"/>
        <v>444-500 McKinney Avenue</v>
      </c>
      <c r="B7" s="3">
        <v>444</v>
      </c>
      <c r="C7" s="3" t="s">
        <v>54</v>
      </c>
      <c r="D7" s="3" t="s">
        <v>55</v>
      </c>
      <c r="E7" s="3"/>
      <c r="F7" s="3"/>
      <c r="G7" s="3" t="s">
        <v>56</v>
      </c>
      <c r="H7" s="3" t="s">
        <v>57</v>
      </c>
      <c r="I7" s="3" t="s">
        <v>58</v>
      </c>
      <c r="J7" s="3" t="s">
        <v>59</v>
      </c>
      <c r="L7" t="s">
        <v>22</v>
      </c>
      <c r="M7" t="s">
        <v>23</v>
      </c>
      <c r="N7" t="s">
        <v>60</v>
      </c>
      <c r="O7" t="s">
        <v>61</v>
      </c>
      <c r="Q7" t="s">
        <v>62</v>
      </c>
    </row>
    <row r="8" spans="1:17" x14ac:dyDescent="0.25">
      <c r="A8" s="3" t="str">
        <f t="shared" si="0"/>
        <v>619-806 Main Hotel Group</v>
      </c>
      <c r="B8" s="3">
        <v>619</v>
      </c>
      <c r="C8" s="3" t="s">
        <v>63</v>
      </c>
      <c r="D8" s="3" t="s">
        <v>64</v>
      </c>
      <c r="E8" s="3" t="s">
        <v>65</v>
      </c>
      <c r="F8" s="3"/>
      <c r="G8" s="3" t="s">
        <v>66</v>
      </c>
      <c r="H8" s="3" t="s">
        <v>67</v>
      </c>
      <c r="I8" s="3" t="s">
        <v>68</v>
      </c>
      <c r="J8" s="3" t="s">
        <v>69</v>
      </c>
      <c r="K8" t="s">
        <v>70</v>
      </c>
      <c r="L8" t="s">
        <v>22</v>
      </c>
      <c r="M8" t="s">
        <v>23</v>
      </c>
      <c r="N8">
        <v>77002</v>
      </c>
      <c r="O8" t="s">
        <v>71</v>
      </c>
      <c r="P8" t="s">
        <v>72</v>
      </c>
      <c r="Q8" t="s">
        <v>73</v>
      </c>
    </row>
    <row r="9" spans="1:17" x14ac:dyDescent="0.25">
      <c r="A9" s="3" t="str">
        <f t="shared" si="0"/>
        <v>506-A to Z Building Inspection Services</v>
      </c>
      <c r="B9" s="3">
        <v>506</v>
      </c>
      <c r="C9" s="3" t="s">
        <v>74</v>
      </c>
      <c r="D9" s="3" t="s">
        <v>75</v>
      </c>
      <c r="E9" s="3"/>
      <c r="F9" s="3" t="s">
        <v>74</v>
      </c>
      <c r="G9" s="3" t="s">
        <v>76</v>
      </c>
      <c r="H9" s="3" t="s">
        <v>77</v>
      </c>
      <c r="I9" s="3" t="s">
        <v>78</v>
      </c>
      <c r="J9" s="3" t="s">
        <v>79</v>
      </c>
      <c r="L9" t="s">
        <v>22</v>
      </c>
      <c r="M9" t="s">
        <v>23</v>
      </c>
      <c r="N9">
        <v>77069</v>
      </c>
      <c r="O9" t="s">
        <v>80</v>
      </c>
      <c r="Q9" t="s">
        <v>81</v>
      </c>
    </row>
    <row r="10" spans="1:17" x14ac:dyDescent="0.25">
      <c r="A10" s="3" t="str">
        <f t="shared" si="0"/>
        <v>316-A&amp;L VALVE AND FITTING LP</v>
      </c>
      <c r="B10" s="3">
        <v>316</v>
      </c>
      <c r="C10" s="3" t="s">
        <v>82</v>
      </c>
      <c r="D10" s="3" t="s">
        <v>83</v>
      </c>
      <c r="E10" s="3"/>
      <c r="F10" s="3"/>
      <c r="G10" s="3" t="s">
        <v>84</v>
      </c>
      <c r="H10" s="3" t="s">
        <v>85</v>
      </c>
      <c r="I10" s="3" t="s">
        <v>86</v>
      </c>
      <c r="J10" s="3" t="s">
        <v>87</v>
      </c>
      <c r="L10" t="s">
        <v>88</v>
      </c>
      <c r="M10" t="s">
        <v>23</v>
      </c>
      <c r="N10">
        <v>77075</v>
      </c>
      <c r="O10" t="s">
        <v>89</v>
      </c>
      <c r="Q10" t="s">
        <v>90</v>
      </c>
    </row>
    <row r="11" spans="1:17" x14ac:dyDescent="0.25">
      <c r="A11" s="3" t="str">
        <f t="shared" si="0"/>
        <v>580-a1 energy</v>
      </c>
      <c r="B11" s="3">
        <v>580</v>
      </c>
      <c r="C11" s="3" t="s">
        <v>91</v>
      </c>
      <c r="D11" s="3" t="s">
        <v>92</v>
      </c>
      <c r="E11" s="3"/>
      <c r="F11" s="3" t="s">
        <v>93</v>
      </c>
      <c r="G11" s="3" t="s">
        <v>94</v>
      </c>
      <c r="H11" s="3" t="s">
        <v>95</v>
      </c>
      <c r="I11" s="3" t="s">
        <v>96</v>
      </c>
      <c r="J11" s="3" t="s">
        <v>97</v>
      </c>
      <c r="L11" t="s">
        <v>98</v>
      </c>
      <c r="M11" t="s">
        <v>23</v>
      </c>
      <c r="N11">
        <v>77573</v>
      </c>
      <c r="O11" t="s">
        <v>99</v>
      </c>
      <c r="Q11" t="s">
        <v>100</v>
      </c>
    </row>
    <row r="12" spans="1:17" x14ac:dyDescent="0.25">
      <c r="A12" s="3" t="str">
        <f t="shared" si="0"/>
        <v>581-a1 energy</v>
      </c>
      <c r="B12" s="3">
        <v>581</v>
      </c>
      <c r="C12" s="3" t="s">
        <v>93</v>
      </c>
      <c r="D12" s="3" t="s">
        <v>92</v>
      </c>
      <c r="E12" s="3"/>
      <c r="F12" s="3"/>
      <c r="G12" s="3" t="s">
        <v>94</v>
      </c>
      <c r="H12" s="3" t="s">
        <v>95</v>
      </c>
      <c r="I12" s="3" t="s">
        <v>96</v>
      </c>
      <c r="J12" s="3" t="s">
        <v>97</v>
      </c>
      <c r="L12" t="s">
        <v>98</v>
      </c>
      <c r="M12" t="s">
        <v>23</v>
      </c>
      <c r="N12">
        <v>77573</v>
      </c>
      <c r="O12" t="s">
        <v>99</v>
      </c>
      <c r="Q12" t="s">
        <v>100</v>
      </c>
    </row>
    <row r="13" spans="1:17" x14ac:dyDescent="0.25">
      <c r="A13" s="3" t="str">
        <f t="shared" si="0"/>
        <v>497-Aaahlens inc</v>
      </c>
      <c r="B13" s="3">
        <v>497</v>
      </c>
      <c r="C13" s="3" t="s">
        <v>101</v>
      </c>
      <c r="D13" s="3" t="s">
        <v>102</v>
      </c>
      <c r="E13" s="3"/>
      <c r="F13" s="3"/>
      <c r="G13" s="3" t="s">
        <v>103</v>
      </c>
      <c r="H13" s="3" t="s">
        <v>104</v>
      </c>
      <c r="I13" s="3" t="s">
        <v>105</v>
      </c>
      <c r="J13" s="3" t="s">
        <v>106</v>
      </c>
      <c r="L13" t="s">
        <v>107</v>
      </c>
      <c r="M13" t="s">
        <v>23</v>
      </c>
      <c r="N13">
        <v>75038</v>
      </c>
      <c r="O13" t="s">
        <v>108</v>
      </c>
      <c r="Q13" t="s">
        <v>109</v>
      </c>
    </row>
    <row r="14" spans="1:17" x14ac:dyDescent="0.25">
      <c r="A14" s="3" t="str">
        <f t="shared" si="0"/>
        <v>409-Abaco Lighting</v>
      </c>
      <c r="B14" s="3">
        <v>409</v>
      </c>
      <c r="C14" s="3" t="s">
        <v>110</v>
      </c>
      <c r="D14" s="3" t="s">
        <v>111</v>
      </c>
      <c r="E14" s="3"/>
      <c r="F14" s="3"/>
      <c r="G14" s="3" t="s">
        <v>112</v>
      </c>
      <c r="H14" s="3" t="s">
        <v>113</v>
      </c>
      <c r="I14" s="3" t="s">
        <v>114</v>
      </c>
      <c r="J14" s="3" t="s">
        <v>115</v>
      </c>
      <c r="L14" t="s">
        <v>116</v>
      </c>
      <c r="M14" t="s">
        <v>117</v>
      </c>
      <c r="N14">
        <v>33064</v>
      </c>
      <c r="O14" t="s">
        <v>118</v>
      </c>
      <c r="Q14" t="s">
        <v>119</v>
      </c>
    </row>
    <row r="15" spans="1:17" x14ac:dyDescent="0.25">
      <c r="A15" s="3" t="str">
        <f t="shared" si="0"/>
        <v>516-Acclaim Energy Advisors</v>
      </c>
      <c r="B15" s="3">
        <v>516</v>
      </c>
      <c r="C15" s="3" t="s">
        <v>120</v>
      </c>
      <c r="D15" s="3" t="s">
        <v>121</v>
      </c>
      <c r="E15" s="3"/>
      <c r="F15" s="3"/>
      <c r="G15" s="3" t="s">
        <v>122</v>
      </c>
      <c r="H15" s="3" t="s">
        <v>123</v>
      </c>
      <c r="I15" s="3" t="s">
        <v>124</v>
      </c>
      <c r="J15" s="3" t="s">
        <v>125</v>
      </c>
      <c r="L15" t="s">
        <v>22</v>
      </c>
      <c r="M15" t="s">
        <v>23</v>
      </c>
      <c r="N15">
        <v>77056</v>
      </c>
      <c r="O15" t="s">
        <v>126</v>
      </c>
      <c r="Q15" t="s">
        <v>127</v>
      </c>
    </row>
    <row r="16" spans="1:17" x14ac:dyDescent="0.25">
      <c r="A16" s="3" t="str">
        <f t="shared" si="0"/>
        <v>529-Accor North America</v>
      </c>
      <c r="B16" s="3">
        <v>529</v>
      </c>
      <c r="C16" s="3" t="s">
        <v>128</v>
      </c>
      <c r="D16" s="3" t="s">
        <v>129</v>
      </c>
      <c r="E16" s="3"/>
      <c r="F16" s="3"/>
      <c r="G16" s="3" t="s">
        <v>130</v>
      </c>
      <c r="H16" s="3" t="s">
        <v>131</v>
      </c>
      <c r="I16" s="3" t="s">
        <v>132</v>
      </c>
      <c r="J16" s="3" t="s">
        <v>133</v>
      </c>
      <c r="L16" t="s">
        <v>134</v>
      </c>
      <c r="M16" t="s">
        <v>23</v>
      </c>
      <c r="N16">
        <v>75007</v>
      </c>
      <c r="O16" t="s">
        <v>135</v>
      </c>
      <c r="Q16" t="s">
        <v>136</v>
      </c>
    </row>
    <row r="17" spans="1:17" x14ac:dyDescent="0.25">
      <c r="A17" s="3" t="str">
        <f t="shared" si="0"/>
        <v xml:space="preserve">399-Ace Mart Restaurant Supply Company </v>
      </c>
      <c r="B17" s="3">
        <v>399</v>
      </c>
      <c r="C17" s="3" t="s">
        <v>137</v>
      </c>
      <c r="D17" s="3" t="s">
        <v>138</v>
      </c>
      <c r="E17" s="3"/>
      <c r="F17" s="3"/>
      <c r="G17" s="3" t="s">
        <v>139</v>
      </c>
      <c r="H17" s="3" t="s">
        <v>140</v>
      </c>
      <c r="I17" s="3" t="s">
        <v>141</v>
      </c>
      <c r="J17" s="3" t="s">
        <v>142</v>
      </c>
      <c r="L17" t="s">
        <v>143</v>
      </c>
      <c r="M17" t="s">
        <v>23</v>
      </c>
      <c r="N17">
        <v>78218</v>
      </c>
      <c r="O17" t="s">
        <v>144</v>
      </c>
      <c r="P17" t="s">
        <v>145</v>
      </c>
      <c r="Q17" t="s">
        <v>146</v>
      </c>
    </row>
    <row r="18" spans="1:17" x14ac:dyDescent="0.25">
      <c r="A18" s="3" t="str">
        <f t="shared" si="0"/>
        <v>390-ACES Carbon Monoxide Detection Systems</v>
      </c>
      <c r="B18" s="3">
        <v>390</v>
      </c>
      <c r="C18" s="3" t="s">
        <v>147</v>
      </c>
      <c r="D18" s="3" t="s">
        <v>148</v>
      </c>
      <c r="E18" s="3" t="s">
        <v>149</v>
      </c>
      <c r="F18" s="3" t="s">
        <v>147</v>
      </c>
      <c r="G18" s="3" t="s">
        <v>150</v>
      </c>
      <c r="H18" s="3" t="s">
        <v>151</v>
      </c>
      <c r="I18" s="3" t="s">
        <v>78</v>
      </c>
      <c r="J18" s="3" t="s">
        <v>152</v>
      </c>
      <c r="K18" t="s">
        <v>153</v>
      </c>
      <c r="L18" t="s">
        <v>154</v>
      </c>
      <c r="M18" t="s">
        <v>155</v>
      </c>
      <c r="N18">
        <v>92007</v>
      </c>
      <c r="O18" t="s">
        <v>156</v>
      </c>
      <c r="P18" t="s">
        <v>157</v>
      </c>
      <c r="Q18" t="s">
        <v>158</v>
      </c>
    </row>
    <row r="19" spans="1:17" x14ac:dyDescent="0.25">
      <c r="A19" s="3" t="str">
        <f t="shared" si="0"/>
        <v>231-ACR Engineering, Inc.</v>
      </c>
      <c r="B19" s="3">
        <v>231</v>
      </c>
      <c r="C19" s="3" t="s">
        <v>159</v>
      </c>
      <c r="D19" s="3" t="s">
        <v>160</v>
      </c>
      <c r="E19" s="3"/>
      <c r="F19" s="3"/>
      <c r="G19" s="3" t="s">
        <v>161</v>
      </c>
      <c r="H19" s="3" t="s">
        <v>162</v>
      </c>
      <c r="I19" s="3" t="s">
        <v>163</v>
      </c>
      <c r="J19" s="3" t="s">
        <v>164</v>
      </c>
      <c r="L19" t="s">
        <v>165</v>
      </c>
      <c r="M19" t="s">
        <v>23</v>
      </c>
      <c r="N19">
        <v>78704</v>
      </c>
      <c r="O19" t="s">
        <v>166</v>
      </c>
      <c r="P19" t="s">
        <v>167</v>
      </c>
      <c r="Q19" t="s">
        <v>168</v>
      </c>
    </row>
    <row r="20" spans="1:17" x14ac:dyDescent="0.25">
      <c r="A20" s="3" t="str">
        <f t="shared" si="0"/>
        <v xml:space="preserve">229-Advanced Lighting, Inc. </v>
      </c>
      <c r="B20" s="3">
        <v>229</v>
      </c>
      <c r="C20" s="3" t="s">
        <v>169</v>
      </c>
      <c r="D20" s="3" t="s">
        <v>170</v>
      </c>
      <c r="E20" s="3"/>
      <c r="F20" s="3"/>
      <c r="G20" s="3" t="s">
        <v>171</v>
      </c>
      <c r="H20" s="3" t="s">
        <v>172</v>
      </c>
      <c r="I20" s="3" t="s">
        <v>173</v>
      </c>
      <c r="J20" s="3" t="s">
        <v>174</v>
      </c>
      <c r="L20" t="s">
        <v>175</v>
      </c>
      <c r="M20" t="s">
        <v>176</v>
      </c>
      <c r="N20">
        <v>84119</v>
      </c>
      <c r="O20" t="s">
        <v>177</v>
      </c>
      <c r="P20" t="s">
        <v>178</v>
      </c>
    </row>
    <row r="21" spans="1:17" x14ac:dyDescent="0.25">
      <c r="A21" s="3" t="str">
        <f t="shared" si="0"/>
        <v>220-Advanced Technologies, Inc.</v>
      </c>
      <c r="B21" s="3">
        <v>220</v>
      </c>
      <c r="C21" s="3" t="s">
        <v>179</v>
      </c>
      <c r="D21" s="3" t="s">
        <v>180</v>
      </c>
      <c r="E21" s="3" t="s">
        <v>181</v>
      </c>
      <c r="F21" s="3" t="s">
        <v>182</v>
      </c>
      <c r="G21" s="3" t="s">
        <v>183</v>
      </c>
      <c r="H21" s="3" t="s">
        <v>184</v>
      </c>
      <c r="I21" s="3" t="s">
        <v>185</v>
      </c>
      <c r="J21" s="3" t="s">
        <v>186</v>
      </c>
      <c r="K21" t="s">
        <v>187</v>
      </c>
      <c r="L21" t="s">
        <v>22</v>
      </c>
      <c r="M21" t="s">
        <v>23</v>
      </c>
      <c r="N21">
        <v>77040</v>
      </c>
      <c r="O21" t="s">
        <v>188</v>
      </c>
      <c r="P21" t="s">
        <v>189</v>
      </c>
      <c r="Q21" t="s">
        <v>190</v>
      </c>
    </row>
    <row r="22" spans="1:17" x14ac:dyDescent="0.25">
      <c r="A22" s="3" t="str">
        <f t="shared" si="0"/>
        <v>227-Aelux</v>
      </c>
      <c r="B22" s="3">
        <v>227</v>
      </c>
      <c r="C22" s="3" t="s">
        <v>191</v>
      </c>
      <c r="D22" s="3" t="s">
        <v>192</v>
      </c>
      <c r="E22" s="3"/>
      <c r="F22" s="3"/>
      <c r="G22" s="3" t="s">
        <v>193</v>
      </c>
      <c r="H22" s="3" t="s">
        <v>194</v>
      </c>
      <c r="I22" s="3" t="s">
        <v>195</v>
      </c>
      <c r="J22" s="3" t="s">
        <v>196</v>
      </c>
      <c r="L22" t="s">
        <v>197</v>
      </c>
      <c r="M22" t="s">
        <v>198</v>
      </c>
      <c r="N22">
        <v>19046</v>
      </c>
      <c r="O22" t="s">
        <v>199</v>
      </c>
      <c r="P22" t="s">
        <v>200</v>
      </c>
      <c r="Q22" t="s">
        <v>201</v>
      </c>
    </row>
    <row r="23" spans="1:17" x14ac:dyDescent="0.25">
      <c r="A23" s="3" t="str">
        <f t="shared" si="0"/>
        <v>406-AEP Texas</v>
      </c>
      <c r="B23" s="3">
        <v>406</v>
      </c>
      <c r="C23" s="3" t="s">
        <v>202</v>
      </c>
      <c r="D23" s="3" t="s">
        <v>203</v>
      </c>
      <c r="E23" s="3"/>
      <c r="F23" s="3"/>
      <c r="G23" s="3" t="s">
        <v>204</v>
      </c>
      <c r="H23" s="3" t="s">
        <v>205</v>
      </c>
      <c r="I23" s="3" t="s">
        <v>206</v>
      </c>
      <c r="J23" s="3" t="s">
        <v>207</v>
      </c>
      <c r="L23" t="s">
        <v>208</v>
      </c>
      <c r="M23" t="s">
        <v>23</v>
      </c>
      <c r="N23">
        <v>79602</v>
      </c>
      <c r="O23" t="s">
        <v>209</v>
      </c>
      <c r="Q23" t="s">
        <v>210</v>
      </c>
    </row>
    <row r="24" spans="1:17" x14ac:dyDescent="0.25">
      <c r="A24" s="3" t="str">
        <f t="shared" si="0"/>
        <v>306-Air Liquide Large Industries U.S. LP</v>
      </c>
      <c r="B24" s="3">
        <v>306</v>
      </c>
      <c r="C24" s="3" t="s">
        <v>211</v>
      </c>
      <c r="D24" s="3" t="s">
        <v>212</v>
      </c>
      <c r="E24" s="3"/>
      <c r="F24" s="3"/>
      <c r="G24" s="3" t="s">
        <v>18</v>
      </c>
      <c r="H24" s="3" t="s">
        <v>213</v>
      </c>
      <c r="I24" s="3" t="s">
        <v>214</v>
      </c>
      <c r="J24" s="3" t="s">
        <v>215</v>
      </c>
      <c r="L24" t="s">
        <v>22</v>
      </c>
      <c r="M24" t="s">
        <v>23</v>
      </c>
      <c r="N24">
        <v>77056</v>
      </c>
      <c r="O24" t="s">
        <v>216</v>
      </c>
      <c r="P24" t="s">
        <v>217</v>
      </c>
      <c r="Q24" t="s">
        <v>218</v>
      </c>
    </row>
    <row r="25" spans="1:17" x14ac:dyDescent="0.25">
      <c r="A25" s="3" t="str">
        <f t="shared" si="0"/>
        <v>465-Air Performance Service, Inc.</v>
      </c>
      <c r="B25" s="3">
        <v>465</v>
      </c>
      <c r="C25" s="3" t="s">
        <v>219</v>
      </c>
      <c r="D25" s="3" t="s">
        <v>220</v>
      </c>
      <c r="E25" s="3"/>
      <c r="F25" s="3"/>
      <c r="G25" s="3" t="s">
        <v>221</v>
      </c>
      <c r="H25" s="3" t="s">
        <v>222</v>
      </c>
      <c r="I25" s="3" t="s">
        <v>223</v>
      </c>
      <c r="J25" s="3" t="s">
        <v>224</v>
      </c>
      <c r="L25" t="s">
        <v>22</v>
      </c>
      <c r="M25" t="s">
        <v>23</v>
      </c>
      <c r="N25">
        <v>77064</v>
      </c>
      <c r="O25" t="s">
        <v>225</v>
      </c>
      <c r="Q25" t="s">
        <v>226</v>
      </c>
    </row>
    <row r="26" spans="1:17" x14ac:dyDescent="0.25">
      <c r="A26" s="3" t="str">
        <f t="shared" si="0"/>
        <v>389-Air Texas Mechanical, Inc.</v>
      </c>
      <c r="B26" s="3">
        <v>389</v>
      </c>
      <c r="C26" s="3" t="s">
        <v>227</v>
      </c>
      <c r="D26" s="3" t="s">
        <v>228</v>
      </c>
      <c r="E26" s="3"/>
      <c r="F26" s="3"/>
      <c r="G26" s="3" t="s">
        <v>229</v>
      </c>
      <c r="H26" s="3" t="s">
        <v>230</v>
      </c>
      <c r="I26" s="3" t="s">
        <v>231</v>
      </c>
      <c r="J26" s="3" t="s">
        <v>232</v>
      </c>
      <c r="L26" t="s">
        <v>22</v>
      </c>
      <c r="M26" t="s">
        <v>23</v>
      </c>
      <c r="N26">
        <v>77043</v>
      </c>
      <c r="O26" t="s">
        <v>233</v>
      </c>
      <c r="P26" t="s">
        <v>234</v>
      </c>
      <c r="Q26" t="s">
        <v>235</v>
      </c>
    </row>
    <row r="27" spans="1:17" x14ac:dyDescent="0.25">
      <c r="A27" s="3" t="str">
        <f t="shared" si="0"/>
        <v>627-Air Wind &amp; Solar</v>
      </c>
      <c r="B27" s="3">
        <v>627</v>
      </c>
      <c r="C27" s="3" t="s">
        <v>236</v>
      </c>
      <c r="D27" s="3" t="s">
        <v>237</v>
      </c>
      <c r="E27" s="3"/>
      <c r="F27" s="3"/>
      <c r="G27" s="3" t="s">
        <v>238</v>
      </c>
      <c r="H27" s="3" t="s">
        <v>239</v>
      </c>
      <c r="I27" s="3" t="s">
        <v>240</v>
      </c>
      <c r="J27" s="3" t="s">
        <v>241</v>
      </c>
      <c r="L27" t="s">
        <v>242</v>
      </c>
      <c r="M27" t="s">
        <v>23</v>
      </c>
      <c r="N27">
        <v>76401</v>
      </c>
      <c r="O27" t="s">
        <v>243</v>
      </c>
      <c r="Q27" t="s">
        <v>244</v>
      </c>
    </row>
    <row r="28" spans="1:17" x14ac:dyDescent="0.25">
      <c r="A28" s="3" t="str">
        <f t="shared" si="0"/>
        <v>354-Alliance Energy Solutions</v>
      </c>
      <c r="B28" s="3">
        <v>354</v>
      </c>
      <c r="C28" s="3" t="s">
        <v>245</v>
      </c>
      <c r="D28" s="3" t="s">
        <v>246</v>
      </c>
      <c r="E28" s="3" t="s">
        <v>247</v>
      </c>
      <c r="F28" s="3" t="s">
        <v>245</v>
      </c>
      <c r="G28" s="3" t="s">
        <v>112</v>
      </c>
      <c r="H28" s="3" t="s">
        <v>248</v>
      </c>
      <c r="I28" s="3" t="s">
        <v>249</v>
      </c>
      <c r="J28" s="3" t="s">
        <v>250</v>
      </c>
      <c r="K28" t="s">
        <v>251</v>
      </c>
      <c r="L28" t="s">
        <v>143</v>
      </c>
      <c r="M28" t="s">
        <v>23</v>
      </c>
      <c r="N28">
        <v>78218</v>
      </c>
      <c r="O28" t="s">
        <v>252</v>
      </c>
      <c r="P28" t="s">
        <v>253</v>
      </c>
      <c r="Q28" t="s">
        <v>254</v>
      </c>
    </row>
    <row r="29" spans="1:17" x14ac:dyDescent="0.25">
      <c r="A29" s="3" t="str">
        <f t="shared" si="0"/>
        <v>404-Alliance Energy Solutions</v>
      </c>
      <c r="B29" s="3">
        <v>404</v>
      </c>
      <c r="C29" s="3" t="s">
        <v>255</v>
      </c>
      <c r="D29" s="3" t="s">
        <v>246</v>
      </c>
      <c r="E29" s="3"/>
      <c r="F29" s="3"/>
      <c r="G29" s="3" t="s">
        <v>256</v>
      </c>
      <c r="H29" s="3" t="s">
        <v>257</v>
      </c>
      <c r="I29" s="3" t="s">
        <v>258</v>
      </c>
      <c r="J29" s="3" t="s">
        <v>259</v>
      </c>
      <c r="L29" t="s">
        <v>260</v>
      </c>
      <c r="M29" t="s">
        <v>23</v>
      </c>
      <c r="N29">
        <v>77346</v>
      </c>
      <c r="O29" t="s">
        <v>261</v>
      </c>
      <c r="Q29" t="s">
        <v>262</v>
      </c>
    </row>
    <row r="30" spans="1:17" x14ac:dyDescent="0.25">
      <c r="A30" s="3" t="str">
        <f t="shared" si="0"/>
        <v>536-Alternative Power Solutions</v>
      </c>
      <c r="B30" s="3">
        <v>536</v>
      </c>
      <c r="C30" s="3" t="s">
        <v>263</v>
      </c>
      <c r="D30" s="3" t="s">
        <v>264</v>
      </c>
      <c r="E30" s="3" t="s">
        <v>265</v>
      </c>
      <c r="F30" s="3"/>
      <c r="G30" s="3" t="s">
        <v>266</v>
      </c>
      <c r="H30" s="3" t="s">
        <v>267</v>
      </c>
      <c r="I30" s="3" t="s">
        <v>268</v>
      </c>
      <c r="J30" s="3" t="s">
        <v>269</v>
      </c>
      <c r="K30" t="s">
        <v>270</v>
      </c>
      <c r="L30" t="s">
        <v>22</v>
      </c>
      <c r="M30" t="s">
        <v>23</v>
      </c>
      <c r="N30">
        <v>77041</v>
      </c>
      <c r="O30" t="s">
        <v>271</v>
      </c>
      <c r="P30">
        <v>7135956382</v>
      </c>
      <c r="Q30" t="s">
        <v>272</v>
      </c>
    </row>
    <row r="31" spans="1:17" x14ac:dyDescent="0.25">
      <c r="A31" s="3" t="str">
        <f t="shared" si="0"/>
        <v>247-American Energy Solutions, Inc.</v>
      </c>
      <c r="B31" s="3">
        <v>247</v>
      </c>
      <c r="C31" s="3" t="s">
        <v>273</v>
      </c>
      <c r="D31" s="3" t="s">
        <v>274</v>
      </c>
      <c r="E31" s="3"/>
      <c r="F31" s="3"/>
      <c r="G31" s="3" t="s">
        <v>275</v>
      </c>
      <c r="H31" s="3" t="s">
        <v>276</v>
      </c>
      <c r="I31" s="3" t="s">
        <v>277</v>
      </c>
      <c r="J31" s="3" t="s">
        <v>278</v>
      </c>
      <c r="L31" t="s">
        <v>279</v>
      </c>
      <c r="M31" t="s">
        <v>280</v>
      </c>
      <c r="N31">
        <v>66206</v>
      </c>
      <c r="O31" t="s">
        <v>281</v>
      </c>
      <c r="P31" t="s">
        <v>282</v>
      </c>
      <c r="Q31" t="s">
        <v>283</v>
      </c>
    </row>
    <row r="32" spans="1:17" x14ac:dyDescent="0.25">
      <c r="A32" s="3" t="str">
        <f t="shared" si="0"/>
        <v>299-American Light</v>
      </c>
      <c r="B32" s="3">
        <v>299</v>
      </c>
      <c r="C32" s="3" t="s">
        <v>284</v>
      </c>
      <c r="D32" s="3" t="s">
        <v>285</v>
      </c>
      <c r="E32" s="3"/>
      <c r="F32" s="3"/>
      <c r="G32" s="3" t="s">
        <v>286</v>
      </c>
      <c r="H32" s="3" t="s">
        <v>287</v>
      </c>
      <c r="I32" s="3" t="s">
        <v>288</v>
      </c>
      <c r="J32" s="3" t="s">
        <v>289</v>
      </c>
      <c r="L32" t="s">
        <v>22</v>
      </c>
      <c r="M32" t="s">
        <v>23</v>
      </c>
      <c r="N32">
        <v>77040</v>
      </c>
      <c r="O32" t="s">
        <v>290</v>
      </c>
      <c r="P32" t="s">
        <v>291</v>
      </c>
      <c r="Q32" t="s">
        <v>292</v>
      </c>
    </row>
    <row r="33" spans="1:17" x14ac:dyDescent="0.25">
      <c r="A33" s="3" t="str">
        <f t="shared" si="0"/>
        <v>327-American Light</v>
      </c>
      <c r="B33" s="3">
        <v>327</v>
      </c>
      <c r="C33" s="3" t="s">
        <v>293</v>
      </c>
      <c r="D33" s="3" t="s">
        <v>285</v>
      </c>
      <c r="E33" s="3" t="s">
        <v>294</v>
      </c>
      <c r="F33" s="3" t="s">
        <v>284</v>
      </c>
      <c r="G33" s="3" t="s">
        <v>295</v>
      </c>
      <c r="H33" s="3" t="s">
        <v>296</v>
      </c>
      <c r="I33" s="3" t="s">
        <v>297</v>
      </c>
      <c r="J33" s="3" t="s">
        <v>298</v>
      </c>
      <c r="L33" t="s">
        <v>165</v>
      </c>
      <c r="M33" t="s">
        <v>23</v>
      </c>
      <c r="N33">
        <v>78747</v>
      </c>
      <c r="O33" t="s">
        <v>299</v>
      </c>
      <c r="P33" t="s">
        <v>300</v>
      </c>
      <c r="Q33" t="s">
        <v>301</v>
      </c>
    </row>
    <row r="34" spans="1:17" x14ac:dyDescent="0.25">
      <c r="A34" s="3" t="str">
        <f t="shared" si="0"/>
        <v>272-Amtech Lighting Services</v>
      </c>
      <c r="B34" s="3">
        <v>272</v>
      </c>
      <c r="C34" s="3" t="s">
        <v>302</v>
      </c>
      <c r="D34" s="3" t="s">
        <v>303</v>
      </c>
      <c r="E34" s="3"/>
      <c r="F34" s="3"/>
      <c r="G34" s="3" t="s">
        <v>304</v>
      </c>
      <c r="H34" s="3" t="s">
        <v>305</v>
      </c>
      <c r="I34" s="3" t="s">
        <v>306</v>
      </c>
      <c r="J34" s="3" t="s">
        <v>307</v>
      </c>
      <c r="L34" t="s">
        <v>22</v>
      </c>
      <c r="M34" t="s">
        <v>23</v>
      </c>
      <c r="N34">
        <v>77040</v>
      </c>
      <c r="O34" t="s">
        <v>308</v>
      </c>
      <c r="Q34" t="s">
        <v>309</v>
      </c>
    </row>
    <row r="35" spans="1:17" x14ac:dyDescent="0.25">
      <c r="A35" s="3" t="str">
        <f t="shared" si="0"/>
        <v>508-Apollo BBC</v>
      </c>
      <c r="B35" s="3">
        <v>508</v>
      </c>
      <c r="C35" s="3" t="s">
        <v>310</v>
      </c>
      <c r="D35" s="3" t="s">
        <v>311</v>
      </c>
      <c r="E35" s="3"/>
      <c r="F35" s="3"/>
      <c r="G35" s="3" t="s">
        <v>312</v>
      </c>
      <c r="H35" s="3" t="s">
        <v>313</v>
      </c>
      <c r="I35" s="3" t="s">
        <v>314</v>
      </c>
      <c r="J35" s="3" t="s">
        <v>315</v>
      </c>
      <c r="L35" t="s">
        <v>316</v>
      </c>
      <c r="M35" t="s">
        <v>23</v>
      </c>
      <c r="N35">
        <v>77401</v>
      </c>
      <c r="O35" t="s">
        <v>317</v>
      </c>
      <c r="Q35" t="s">
        <v>318</v>
      </c>
    </row>
    <row r="36" spans="1:17" x14ac:dyDescent="0.25">
      <c r="A36" s="3" t="str">
        <f t="shared" si="0"/>
        <v>322-Aqualine Resources, Inc.</v>
      </c>
      <c r="B36" s="3">
        <v>322</v>
      </c>
      <c r="C36" s="3" t="s">
        <v>319</v>
      </c>
      <c r="D36" s="3" t="s">
        <v>320</v>
      </c>
      <c r="E36" s="3"/>
      <c r="F36" s="3"/>
      <c r="G36" s="3" t="s">
        <v>321</v>
      </c>
      <c r="H36" s="3" t="s">
        <v>322</v>
      </c>
      <c r="I36" s="3" t="s">
        <v>323</v>
      </c>
      <c r="J36" s="3" t="s">
        <v>324</v>
      </c>
      <c r="K36" t="s">
        <v>325</v>
      </c>
      <c r="L36" t="s">
        <v>326</v>
      </c>
      <c r="M36" t="s">
        <v>327</v>
      </c>
      <c r="N36">
        <v>2453</v>
      </c>
      <c r="O36" t="s">
        <v>328</v>
      </c>
      <c r="P36" t="s">
        <v>329</v>
      </c>
      <c r="Q36" t="s">
        <v>330</v>
      </c>
    </row>
    <row r="37" spans="1:17" x14ac:dyDescent="0.25">
      <c r="A37" s="3" t="str">
        <f t="shared" si="0"/>
        <v>382-asdf</v>
      </c>
      <c r="B37" s="3">
        <v>382</v>
      </c>
      <c r="C37" s="3" t="s">
        <v>331</v>
      </c>
      <c r="D37" s="3" t="s">
        <v>332</v>
      </c>
      <c r="E37" s="3"/>
      <c r="F37" s="3"/>
      <c r="G37" s="3" t="s">
        <v>332</v>
      </c>
      <c r="H37" s="3" t="s">
        <v>332</v>
      </c>
      <c r="I37" s="3" t="s">
        <v>333</v>
      </c>
      <c r="J37" s="3" t="s">
        <v>332</v>
      </c>
      <c r="L37" t="s">
        <v>334</v>
      </c>
      <c r="M37" t="s">
        <v>23</v>
      </c>
      <c r="N37">
        <v>23423</v>
      </c>
      <c r="O37" t="s">
        <v>335</v>
      </c>
      <c r="Q37" t="s">
        <v>336</v>
      </c>
    </row>
    <row r="38" spans="1:17" x14ac:dyDescent="0.25">
      <c r="A38" s="3" t="str">
        <f t="shared" si="0"/>
        <v>415-Assa Abloy Hospitality</v>
      </c>
      <c r="B38" s="3">
        <v>415</v>
      </c>
      <c r="C38" s="3" t="s">
        <v>337</v>
      </c>
      <c r="D38" s="3" t="s">
        <v>338</v>
      </c>
      <c r="E38" s="3"/>
      <c r="F38" s="3"/>
      <c r="G38" s="3" t="s">
        <v>339</v>
      </c>
      <c r="H38" s="3" t="s">
        <v>340</v>
      </c>
      <c r="I38" s="3" t="s">
        <v>341</v>
      </c>
      <c r="J38" s="3" t="s">
        <v>342</v>
      </c>
      <c r="K38" t="s">
        <v>270</v>
      </c>
      <c r="L38" t="s">
        <v>343</v>
      </c>
      <c r="M38" t="s">
        <v>23</v>
      </c>
      <c r="N38">
        <v>75081</v>
      </c>
      <c r="O38" t="s">
        <v>344</v>
      </c>
      <c r="Q38" t="s">
        <v>345</v>
      </c>
    </row>
    <row r="39" spans="1:17" x14ac:dyDescent="0.25">
      <c r="A39" s="3" t="str">
        <f t="shared" si="0"/>
        <v>589-Aureole Lighting</v>
      </c>
      <c r="B39" s="3">
        <v>589</v>
      </c>
      <c r="C39" s="3" t="s">
        <v>346</v>
      </c>
      <c r="D39" s="3" t="s">
        <v>347</v>
      </c>
      <c r="E39" s="3"/>
      <c r="F39" s="3" t="s">
        <v>348</v>
      </c>
      <c r="G39" s="3" t="s">
        <v>349</v>
      </c>
      <c r="H39" s="3" t="s">
        <v>350</v>
      </c>
      <c r="I39" s="3" t="s">
        <v>351</v>
      </c>
      <c r="J39" s="3" t="s">
        <v>352</v>
      </c>
      <c r="L39" t="s">
        <v>353</v>
      </c>
      <c r="M39" t="s">
        <v>354</v>
      </c>
      <c r="N39">
        <v>60148</v>
      </c>
      <c r="O39" t="s">
        <v>355</v>
      </c>
      <c r="Q39" t="s">
        <v>356</v>
      </c>
    </row>
    <row r="40" spans="1:17" x14ac:dyDescent="0.25">
      <c r="A40" s="3" t="str">
        <f t="shared" si="0"/>
        <v>276-AutoLite</v>
      </c>
      <c r="B40" s="3">
        <v>276</v>
      </c>
      <c r="C40" s="3" t="s">
        <v>357</v>
      </c>
      <c r="D40" s="3" t="s">
        <v>358</v>
      </c>
      <c r="E40" s="3"/>
      <c r="F40" s="3"/>
      <c r="G40" s="3" t="s">
        <v>359</v>
      </c>
      <c r="H40" s="3" t="s">
        <v>360</v>
      </c>
      <c r="I40" s="3" t="s">
        <v>78</v>
      </c>
      <c r="J40" s="3" t="s">
        <v>361</v>
      </c>
      <c r="L40" t="s">
        <v>98</v>
      </c>
      <c r="M40" t="s">
        <v>23</v>
      </c>
      <c r="N40" t="s">
        <v>362</v>
      </c>
      <c r="O40" t="s">
        <v>363</v>
      </c>
      <c r="P40" t="s">
        <v>364</v>
      </c>
      <c r="Q40" t="s">
        <v>365</v>
      </c>
    </row>
    <row r="41" spans="1:17" x14ac:dyDescent="0.25">
      <c r="A41" s="3" t="str">
        <f t="shared" si="0"/>
        <v>305-Automated Logic / United Environmental Services</v>
      </c>
      <c r="B41" s="3">
        <v>305</v>
      </c>
      <c r="C41" s="3" t="s">
        <v>366</v>
      </c>
      <c r="D41" s="3" t="s">
        <v>367</v>
      </c>
      <c r="E41" s="3"/>
      <c r="F41" s="3"/>
      <c r="G41" s="3" t="s">
        <v>368</v>
      </c>
      <c r="H41" s="3" t="s">
        <v>369</v>
      </c>
      <c r="I41" s="3" t="s">
        <v>370</v>
      </c>
      <c r="J41" s="3" t="s">
        <v>371</v>
      </c>
      <c r="L41" t="s">
        <v>372</v>
      </c>
      <c r="M41" t="s">
        <v>23</v>
      </c>
      <c r="N41">
        <v>77507</v>
      </c>
      <c r="O41" t="s">
        <v>373</v>
      </c>
      <c r="P41" t="s">
        <v>374</v>
      </c>
      <c r="Q41" t="s">
        <v>375</v>
      </c>
    </row>
    <row r="42" spans="1:17" x14ac:dyDescent="0.25">
      <c r="A42" s="3" t="str">
        <f t="shared" si="0"/>
        <v>457-AutoNation</v>
      </c>
      <c r="B42" s="3">
        <v>457</v>
      </c>
      <c r="C42" s="3" t="s">
        <v>376</v>
      </c>
      <c r="D42" s="3" t="s">
        <v>377</v>
      </c>
      <c r="E42" s="3"/>
      <c r="F42" s="3"/>
      <c r="G42" s="3" t="s">
        <v>378</v>
      </c>
      <c r="H42" s="3" t="s">
        <v>379</v>
      </c>
      <c r="I42" s="3" t="s">
        <v>258</v>
      </c>
      <c r="J42" s="3" t="s">
        <v>380</v>
      </c>
      <c r="L42" t="s">
        <v>381</v>
      </c>
      <c r="M42" t="s">
        <v>382</v>
      </c>
      <c r="N42">
        <v>48114</v>
      </c>
      <c r="O42" t="s">
        <v>383</v>
      </c>
      <c r="P42" t="s">
        <v>384</v>
      </c>
      <c r="Q42" t="s">
        <v>385</v>
      </c>
    </row>
    <row r="43" spans="1:17" x14ac:dyDescent="0.25">
      <c r="A43" s="3" t="str">
        <f t="shared" si="0"/>
        <v>447-B S P Marketing, LP</v>
      </c>
      <c r="B43" s="3">
        <v>447</v>
      </c>
      <c r="C43" s="3" t="s">
        <v>386</v>
      </c>
      <c r="D43" s="3" t="s">
        <v>387</v>
      </c>
      <c r="E43" s="3"/>
      <c r="F43" s="3"/>
      <c r="G43" s="3" t="s">
        <v>388</v>
      </c>
      <c r="H43" s="3" t="s">
        <v>389</v>
      </c>
      <c r="I43" s="3" t="s">
        <v>390</v>
      </c>
      <c r="J43" s="3" t="s">
        <v>391</v>
      </c>
      <c r="L43" t="s">
        <v>392</v>
      </c>
      <c r="M43" t="s">
        <v>23</v>
      </c>
      <c r="N43">
        <v>77477</v>
      </c>
      <c r="O43" t="s">
        <v>393</v>
      </c>
      <c r="P43" t="s">
        <v>394</v>
      </c>
      <c r="Q43" t="s">
        <v>395</v>
      </c>
    </row>
    <row r="44" spans="1:17" x14ac:dyDescent="0.25">
      <c r="A44" s="3" t="str">
        <f t="shared" si="0"/>
        <v>561-B&amp;MS Construction, INC</v>
      </c>
      <c r="B44" s="3">
        <v>561</v>
      </c>
      <c r="C44" s="3" t="s">
        <v>396</v>
      </c>
      <c r="D44" s="3" t="s">
        <v>397</v>
      </c>
      <c r="E44" s="3"/>
      <c r="F44" s="3"/>
      <c r="G44" s="3" t="s">
        <v>398</v>
      </c>
      <c r="H44" s="3" t="s">
        <v>399</v>
      </c>
      <c r="I44" s="3" t="s">
        <v>400</v>
      </c>
      <c r="J44" s="3" t="s">
        <v>401</v>
      </c>
      <c r="L44" t="s">
        <v>402</v>
      </c>
      <c r="M44" t="s">
        <v>23</v>
      </c>
      <c r="N44">
        <v>77539</v>
      </c>
      <c r="O44" t="s">
        <v>403</v>
      </c>
      <c r="P44" t="s">
        <v>404</v>
      </c>
      <c r="Q44" t="s">
        <v>405</v>
      </c>
    </row>
    <row r="45" spans="1:17" x14ac:dyDescent="0.25">
      <c r="A45" s="3" t="str">
        <f t="shared" si="0"/>
        <v>572-B3 Energy Consulting</v>
      </c>
      <c r="B45" s="3">
        <v>572</v>
      </c>
      <c r="C45" s="3" t="s">
        <v>406</v>
      </c>
      <c r="D45" s="3" t="s">
        <v>407</v>
      </c>
      <c r="E45" s="3"/>
      <c r="F45" s="3"/>
      <c r="G45" s="3" t="s">
        <v>408</v>
      </c>
      <c r="H45" s="3" t="s">
        <v>409</v>
      </c>
      <c r="I45" s="3" t="s">
        <v>78</v>
      </c>
      <c r="J45" s="3" t="s">
        <v>410</v>
      </c>
      <c r="L45" t="s">
        <v>411</v>
      </c>
      <c r="M45" t="s">
        <v>23</v>
      </c>
      <c r="N45">
        <v>77532</v>
      </c>
      <c r="O45" t="s">
        <v>412</v>
      </c>
      <c r="Q45" t="s">
        <v>413</v>
      </c>
    </row>
    <row r="46" spans="1:17" x14ac:dyDescent="0.25">
      <c r="A46" s="3" t="str">
        <f t="shared" si="0"/>
        <v>435-Baker Hughes</v>
      </c>
      <c r="B46" s="3">
        <v>435</v>
      </c>
      <c r="C46" s="3" t="s">
        <v>414</v>
      </c>
      <c r="D46" s="3" t="s">
        <v>415</v>
      </c>
      <c r="E46" s="3" t="s">
        <v>416</v>
      </c>
      <c r="F46" s="3" t="s">
        <v>417</v>
      </c>
      <c r="G46" s="3" t="s">
        <v>418</v>
      </c>
      <c r="H46" s="3" t="s">
        <v>419</v>
      </c>
      <c r="I46" s="3" t="s">
        <v>420</v>
      </c>
      <c r="J46" s="3" t="s">
        <v>421</v>
      </c>
      <c r="L46" t="s">
        <v>22</v>
      </c>
      <c r="M46" t="s">
        <v>23</v>
      </c>
      <c r="N46">
        <v>77040</v>
      </c>
      <c r="O46" t="s">
        <v>422</v>
      </c>
      <c r="P46" t="s">
        <v>423</v>
      </c>
      <c r="Q46" t="s">
        <v>424</v>
      </c>
    </row>
    <row r="47" spans="1:17" x14ac:dyDescent="0.25">
      <c r="A47" s="3" t="str">
        <f t="shared" si="0"/>
        <v>613-Baker Hughes, Inc</v>
      </c>
      <c r="B47" s="3">
        <v>613</v>
      </c>
      <c r="C47" s="3" t="s">
        <v>417</v>
      </c>
      <c r="D47" s="3" t="s">
        <v>425</v>
      </c>
      <c r="E47" s="3"/>
      <c r="F47" s="3"/>
      <c r="G47" s="3" t="s">
        <v>426</v>
      </c>
      <c r="H47" s="3" t="s">
        <v>427</v>
      </c>
      <c r="I47" s="3" t="s">
        <v>428</v>
      </c>
      <c r="J47" s="3" t="s">
        <v>429</v>
      </c>
      <c r="L47" t="s">
        <v>22</v>
      </c>
      <c r="M47" t="s">
        <v>23</v>
      </c>
      <c r="N47">
        <v>77073</v>
      </c>
      <c r="O47" t="s">
        <v>430</v>
      </c>
      <c r="Q47" t="s">
        <v>431</v>
      </c>
    </row>
    <row r="48" spans="1:17" x14ac:dyDescent="0.25">
      <c r="A48" s="3" t="str">
        <f t="shared" si="0"/>
        <v>559-Bambu Energy</v>
      </c>
      <c r="B48" s="3">
        <v>559</v>
      </c>
      <c r="C48" s="3" t="s">
        <v>432</v>
      </c>
      <c r="D48" s="3" t="s">
        <v>433</v>
      </c>
      <c r="E48" s="3"/>
      <c r="F48" s="3"/>
      <c r="G48" s="3" t="s">
        <v>434</v>
      </c>
      <c r="H48" s="3" t="s">
        <v>435</v>
      </c>
      <c r="I48" s="3" t="s">
        <v>436</v>
      </c>
      <c r="J48" s="3" t="s">
        <v>437</v>
      </c>
      <c r="K48" t="s">
        <v>438</v>
      </c>
      <c r="L48" t="s">
        <v>439</v>
      </c>
      <c r="M48" t="s">
        <v>23</v>
      </c>
      <c r="N48">
        <v>75226</v>
      </c>
      <c r="O48" t="s">
        <v>440</v>
      </c>
      <c r="Q48" t="s">
        <v>441</v>
      </c>
    </row>
    <row r="49" spans="1:17" x14ac:dyDescent="0.25">
      <c r="A49" s="3" t="str">
        <f t="shared" si="0"/>
        <v>348-Barnes and Noble</v>
      </c>
      <c r="B49" s="3">
        <v>348</v>
      </c>
      <c r="C49" s="3" t="s">
        <v>442</v>
      </c>
      <c r="D49" s="3" t="s">
        <v>443</v>
      </c>
      <c r="E49" s="3"/>
      <c r="F49" s="3"/>
      <c r="G49" s="3" t="s">
        <v>112</v>
      </c>
      <c r="H49" s="3" t="s">
        <v>444</v>
      </c>
      <c r="I49" s="3" t="s">
        <v>445</v>
      </c>
      <c r="J49" s="3" t="s">
        <v>446</v>
      </c>
      <c r="L49" t="s">
        <v>447</v>
      </c>
      <c r="M49" t="s">
        <v>448</v>
      </c>
      <c r="N49">
        <v>10011</v>
      </c>
      <c r="O49" t="s">
        <v>449</v>
      </c>
      <c r="P49" t="s">
        <v>450</v>
      </c>
      <c r="Q49" t="s">
        <v>451</v>
      </c>
    </row>
    <row r="50" spans="1:17" x14ac:dyDescent="0.25">
      <c r="A50" s="3" t="str">
        <f t="shared" si="0"/>
        <v>467-Bee Electrical L.P.</v>
      </c>
      <c r="B50" s="3">
        <v>467</v>
      </c>
      <c r="C50" s="3" t="s">
        <v>452</v>
      </c>
      <c r="D50" s="3" t="s">
        <v>453</v>
      </c>
      <c r="E50" s="3"/>
      <c r="F50" s="3"/>
      <c r="G50" s="3" t="s">
        <v>454</v>
      </c>
      <c r="H50" s="3" t="s">
        <v>455</v>
      </c>
      <c r="I50" s="3" t="s">
        <v>68</v>
      </c>
      <c r="J50" s="3" t="s">
        <v>456</v>
      </c>
      <c r="L50" t="s">
        <v>22</v>
      </c>
      <c r="M50" t="s">
        <v>23</v>
      </c>
      <c r="N50">
        <v>77075</v>
      </c>
      <c r="O50" t="s">
        <v>457</v>
      </c>
      <c r="P50" t="s">
        <v>458</v>
      </c>
      <c r="Q50" t="s">
        <v>459</v>
      </c>
    </row>
    <row r="51" spans="1:17" x14ac:dyDescent="0.25">
      <c r="A51" s="3" t="str">
        <f t="shared" si="0"/>
        <v>565-Ben E Keith Foods</v>
      </c>
      <c r="B51" s="3">
        <v>565</v>
      </c>
      <c r="C51" s="3" t="s">
        <v>460</v>
      </c>
      <c r="D51" s="3" t="s">
        <v>461</v>
      </c>
      <c r="E51" s="3" t="s">
        <v>462</v>
      </c>
      <c r="F51" s="3" t="s">
        <v>460</v>
      </c>
      <c r="G51" s="3" t="s">
        <v>349</v>
      </c>
      <c r="H51" s="3" t="s">
        <v>463</v>
      </c>
      <c r="I51" s="3" t="s">
        <v>464</v>
      </c>
      <c r="J51" s="3" t="s">
        <v>465</v>
      </c>
      <c r="L51" t="s">
        <v>466</v>
      </c>
      <c r="M51" t="s">
        <v>23</v>
      </c>
      <c r="N51">
        <v>76140</v>
      </c>
      <c r="O51" t="s">
        <v>467</v>
      </c>
      <c r="P51" t="s">
        <v>468</v>
      </c>
      <c r="Q51" t="s">
        <v>469</v>
      </c>
    </row>
    <row r="52" spans="1:17" x14ac:dyDescent="0.25">
      <c r="A52" s="3" t="str">
        <f t="shared" si="0"/>
        <v>466-Bertling Logistics</v>
      </c>
      <c r="B52" s="3">
        <v>466</v>
      </c>
      <c r="C52" s="3" t="s">
        <v>470</v>
      </c>
      <c r="D52" s="3" t="s">
        <v>471</v>
      </c>
      <c r="E52" s="3"/>
      <c r="F52" s="3"/>
      <c r="G52" s="3" t="s">
        <v>472</v>
      </c>
      <c r="H52" s="3" t="s">
        <v>473</v>
      </c>
      <c r="I52" s="3" t="s">
        <v>68</v>
      </c>
      <c r="J52" s="3" t="s">
        <v>474</v>
      </c>
      <c r="L52" t="s">
        <v>22</v>
      </c>
      <c r="M52" t="s">
        <v>23</v>
      </c>
      <c r="N52">
        <v>77057</v>
      </c>
      <c r="O52" t="s">
        <v>475</v>
      </c>
      <c r="Q52" t="s">
        <v>476</v>
      </c>
    </row>
    <row r="53" spans="1:17" x14ac:dyDescent="0.25">
      <c r="A53" s="3" t="str">
        <f t="shared" si="0"/>
        <v>498-Best buy</v>
      </c>
      <c r="B53" s="3">
        <v>498</v>
      </c>
      <c r="C53" s="3" t="s">
        <v>477</v>
      </c>
      <c r="D53" s="3" t="s">
        <v>478</v>
      </c>
      <c r="E53" s="3"/>
      <c r="F53" s="3"/>
      <c r="G53" s="3" t="s">
        <v>479</v>
      </c>
      <c r="H53" s="3" t="s">
        <v>480</v>
      </c>
      <c r="I53" s="3" t="s">
        <v>481</v>
      </c>
      <c r="J53" s="3" t="s">
        <v>482</v>
      </c>
      <c r="L53" t="s">
        <v>381</v>
      </c>
      <c r="M53" t="s">
        <v>382</v>
      </c>
      <c r="N53">
        <v>48114</v>
      </c>
      <c r="O53" t="s">
        <v>383</v>
      </c>
      <c r="Q53" t="s">
        <v>483</v>
      </c>
    </row>
    <row r="54" spans="1:17" x14ac:dyDescent="0.25">
      <c r="A54" s="3" t="str">
        <f t="shared" si="0"/>
        <v>434-BINZ 1001 TEXAS AVE, LLC</v>
      </c>
      <c r="B54" s="3">
        <v>434</v>
      </c>
      <c r="C54" s="3" t="s">
        <v>484</v>
      </c>
      <c r="D54" s="3" t="s">
        <v>485</v>
      </c>
      <c r="E54" s="3"/>
      <c r="F54" s="3"/>
      <c r="G54" s="3" t="s">
        <v>486</v>
      </c>
      <c r="H54" s="3" t="s">
        <v>487</v>
      </c>
      <c r="I54" s="3" t="s">
        <v>488</v>
      </c>
      <c r="J54" s="3" t="s">
        <v>489</v>
      </c>
      <c r="K54" t="s">
        <v>490</v>
      </c>
      <c r="L54" t="s">
        <v>491</v>
      </c>
      <c r="M54" t="s">
        <v>155</v>
      </c>
      <c r="N54">
        <v>90014</v>
      </c>
      <c r="O54" t="s">
        <v>492</v>
      </c>
      <c r="P54" t="s">
        <v>493</v>
      </c>
      <c r="Q54" t="s">
        <v>494</v>
      </c>
    </row>
    <row r="55" spans="1:17" x14ac:dyDescent="0.25">
      <c r="A55" s="3" t="str">
        <f t="shared" si="0"/>
        <v>643-BKJ Holdings, LLC</v>
      </c>
      <c r="B55">
        <v>643</v>
      </c>
      <c r="D55" t="s">
        <v>495</v>
      </c>
      <c r="G55" t="s">
        <v>496</v>
      </c>
      <c r="H55" t="s">
        <v>497</v>
      </c>
      <c r="J55" t="s">
        <v>498</v>
      </c>
      <c r="L55" t="s">
        <v>499</v>
      </c>
      <c r="M55" t="s">
        <v>176</v>
      </c>
      <c r="N55" s="4" t="s">
        <v>500</v>
      </c>
      <c r="O55" t="s">
        <v>501</v>
      </c>
      <c r="Q55" t="s">
        <v>502</v>
      </c>
    </row>
    <row r="56" spans="1:17" x14ac:dyDescent="0.25">
      <c r="A56" s="3" t="str">
        <f t="shared" si="0"/>
        <v>558-Blanco Electric LTD Co</v>
      </c>
      <c r="B56" s="3">
        <v>558</v>
      </c>
      <c r="C56" s="3" t="s">
        <v>503</v>
      </c>
      <c r="D56" s="3" t="s">
        <v>504</v>
      </c>
      <c r="E56" s="3"/>
      <c r="F56" s="3"/>
      <c r="G56" s="3" t="s">
        <v>505</v>
      </c>
      <c r="H56" s="3" t="s">
        <v>506</v>
      </c>
      <c r="I56" s="3" t="s">
        <v>507</v>
      </c>
      <c r="J56" s="3" t="s">
        <v>508</v>
      </c>
      <c r="L56" t="s">
        <v>22</v>
      </c>
      <c r="M56" t="s">
        <v>23</v>
      </c>
      <c r="N56">
        <v>77018</v>
      </c>
      <c r="O56" t="s">
        <v>509</v>
      </c>
      <c r="P56" t="s">
        <v>510</v>
      </c>
      <c r="Q56" t="s">
        <v>511</v>
      </c>
    </row>
    <row r="57" spans="1:17" x14ac:dyDescent="0.25">
      <c r="A57" s="3" t="str">
        <f t="shared" si="0"/>
        <v>628-BLDW LED Lighting &amp; Installation</v>
      </c>
      <c r="B57" s="3">
        <v>628</v>
      </c>
      <c r="C57" s="3" t="s">
        <v>512</v>
      </c>
      <c r="D57" s="3" t="s">
        <v>513</v>
      </c>
      <c r="E57" s="3"/>
      <c r="F57" s="3"/>
      <c r="G57" s="3" t="s">
        <v>514</v>
      </c>
      <c r="H57" s="3" t="s">
        <v>515</v>
      </c>
      <c r="I57" s="3" t="s">
        <v>516</v>
      </c>
      <c r="J57" s="3" t="s">
        <v>517</v>
      </c>
      <c r="L57" t="s">
        <v>22</v>
      </c>
      <c r="M57" t="s">
        <v>23</v>
      </c>
      <c r="N57">
        <v>77055</v>
      </c>
      <c r="O57" t="s">
        <v>518</v>
      </c>
      <c r="Q57" t="s">
        <v>519</v>
      </c>
    </row>
    <row r="58" spans="1:17" x14ac:dyDescent="0.25">
      <c r="A58" s="3" t="str">
        <f t="shared" si="0"/>
        <v>502-BlueStar Energy</v>
      </c>
      <c r="B58" s="3">
        <v>502</v>
      </c>
      <c r="C58" s="3" t="s">
        <v>520</v>
      </c>
      <c r="D58" s="3" t="s">
        <v>521</v>
      </c>
      <c r="E58" s="3"/>
      <c r="F58" s="3"/>
      <c r="G58" s="3" t="s">
        <v>522</v>
      </c>
      <c r="H58" s="3" t="s">
        <v>523</v>
      </c>
      <c r="I58" s="3" t="s">
        <v>68</v>
      </c>
      <c r="J58" s="3" t="s">
        <v>524</v>
      </c>
      <c r="K58" t="s">
        <v>525</v>
      </c>
      <c r="L58" t="s">
        <v>526</v>
      </c>
      <c r="M58" t="s">
        <v>354</v>
      </c>
      <c r="N58">
        <v>60654</v>
      </c>
      <c r="O58" t="s">
        <v>527</v>
      </c>
      <c r="Q58" t="s">
        <v>528</v>
      </c>
    </row>
    <row r="59" spans="1:17" x14ac:dyDescent="0.25">
      <c r="A59" s="3" t="str">
        <f t="shared" si="0"/>
        <v>315-Bluestone Construction, LLC</v>
      </c>
      <c r="B59" s="3">
        <v>315</v>
      </c>
      <c r="C59" s="3" t="s">
        <v>529</v>
      </c>
      <c r="D59" s="3" t="s">
        <v>530</v>
      </c>
      <c r="E59" s="3"/>
      <c r="F59" s="3"/>
      <c r="G59" s="3" t="s">
        <v>531</v>
      </c>
      <c r="H59" s="3" t="s">
        <v>532</v>
      </c>
      <c r="I59" s="3" t="s">
        <v>436</v>
      </c>
      <c r="J59" s="3" t="s">
        <v>533</v>
      </c>
      <c r="K59" t="s">
        <v>534</v>
      </c>
      <c r="L59" t="s">
        <v>535</v>
      </c>
      <c r="M59" t="s">
        <v>536</v>
      </c>
      <c r="N59">
        <v>40241</v>
      </c>
      <c r="O59" t="s">
        <v>537</v>
      </c>
      <c r="P59" t="s">
        <v>538</v>
      </c>
      <c r="Q59" t="s">
        <v>539</v>
      </c>
    </row>
    <row r="60" spans="1:17" x14ac:dyDescent="0.25">
      <c r="A60" s="3" t="str">
        <f t="shared" si="0"/>
        <v>438-BMS Management Inc.</v>
      </c>
      <c r="B60" s="3">
        <v>438</v>
      </c>
      <c r="C60" s="3" t="s">
        <v>540</v>
      </c>
      <c r="D60" s="3" t="s">
        <v>541</v>
      </c>
      <c r="E60" s="3"/>
      <c r="F60" s="3"/>
      <c r="G60" s="3" t="s">
        <v>542</v>
      </c>
      <c r="H60" s="3" t="s">
        <v>543</v>
      </c>
      <c r="I60" s="3" t="s">
        <v>185</v>
      </c>
      <c r="J60" s="3" t="s">
        <v>544</v>
      </c>
      <c r="L60" t="s">
        <v>22</v>
      </c>
      <c r="M60" t="s">
        <v>23</v>
      </c>
      <c r="N60">
        <v>77027</v>
      </c>
      <c r="O60" t="s">
        <v>545</v>
      </c>
      <c r="P60" t="s">
        <v>546</v>
      </c>
      <c r="Q60" t="s">
        <v>547</v>
      </c>
    </row>
    <row r="61" spans="1:17" x14ac:dyDescent="0.25">
      <c r="A61" s="3" t="str">
        <f t="shared" si="0"/>
        <v>583-Bocci Engineering</v>
      </c>
      <c r="B61" s="3">
        <v>583</v>
      </c>
      <c r="C61" s="3" t="s">
        <v>548</v>
      </c>
      <c r="D61" s="3" t="s">
        <v>549</v>
      </c>
      <c r="E61" s="3"/>
      <c r="F61" s="3"/>
      <c r="G61" s="3" t="s">
        <v>550</v>
      </c>
      <c r="H61" s="3" t="s">
        <v>551</v>
      </c>
      <c r="I61" s="3" t="s">
        <v>552</v>
      </c>
      <c r="J61" s="3" t="s">
        <v>553</v>
      </c>
      <c r="L61" t="s">
        <v>554</v>
      </c>
      <c r="M61" t="s">
        <v>23</v>
      </c>
      <c r="N61">
        <v>77429</v>
      </c>
      <c r="O61" t="s">
        <v>555</v>
      </c>
      <c r="P61" t="s">
        <v>556</v>
      </c>
      <c r="Q61" t="s">
        <v>557</v>
      </c>
    </row>
    <row r="62" spans="1:17" x14ac:dyDescent="0.25">
      <c r="A62" s="3" t="str">
        <f t="shared" si="0"/>
        <v>425-Boyd Electric Co.</v>
      </c>
      <c r="B62" s="3">
        <v>425</v>
      </c>
      <c r="C62" s="3" t="s">
        <v>558</v>
      </c>
      <c r="D62" s="3" t="s">
        <v>559</v>
      </c>
      <c r="E62" s="3"/>
      <c r="F62" s="3"/>
      <c r="G62" s="3" t="s">
        <v>560</v>
      </c>
      <c r="H62" s="3" t="s">
        <v>561</v>
      </c>
      <c r="I62" s="3" t="s">
        <v>78</v>
      </c>
      <c r="J62" s="3" t="s">
        <v>562</v>
      </c>
      <c r="L62" t="s">
        <v>563</v>
      </c>
      <c r="M62" t="s">
        <v>23</v>
      </c>
      <c r="N62">
        <v>77447</v>
      </c>
      <c r="O62" t="s">
        <v>564</v>
      </c>
      <c r="P62" t="s">
        <v>565</v>
      </c>
      <c r="Q62" t="s">
        <v>566</v>
      </c>
    </row>
    <row r="63" spans="1:17" x14ac:dyDescent="0.25">
      <c r="A63" s="3" t="str">
        <f t="shared" si="0"/>
        <v>446-Boyd Electric, Inc.</v>
      </c>
      <c r="B63" s="3">
        <v>446</v>
      </c>
      <c r="C63" s="3" t="s">
        <v>567</v>
      </c>
      <c r="D63" s="3" t="s">
        <v>568</v>
      </c>
      <c r="E63" s="3"/>
      <c r="F63" s="3" t="s">
        <v>569</v>
      </c>
      <c r="G63" s="3" t="s">
        <v>276</v>
      </c>
      <c r="H63" s="3" t="s">
        <v>570</v>
      </c>
      <c r="I63" s="3" t="s">
        <v>571</v>
      </c>
      <c r="J63" s="3" t="s">
        <v>572</v>
      </c>
      <c r="L63" t="s">
        <v>573</v>
      </c>
      <c r="M63" t="s">
        <v>354</v>
      </c>
      <c r="N63">
        <v>60415</v>
      </c>
      <c r="O63" t="s">
        <v>574</v>
      </c>
      <c r="P63" t="s">
        <v>575</v>
      </c>
      <c r="Q63" t="s">
        <v>576</v>
      </c>
    </row>
    <row r="64" spans="1:17" x14ac:dyDescent="0.25">
      <c r="A64" s="3" t="str">
        <f t="shared" si="0"/>
        <v>223-BP</v>
      </c>
      <c r="B64" s="3">
        <v>223</v>
      </c>
      <c r="C64" s="3" t="s">
        <v>577</v>
      </c>
      <c r="D64" s="3" t="s">
        <v>578</v>
      </c>
      <c r="E64" s="3"/>
      <c r="F64" s="3"/>
      <c r="G64" s="3" t="s">
        <v>579</v>
      </c>
      <c r="H64" s="3" t="s">
        <v>580</v>
      </c>
      <c r="I64" s="3" t="s">
        <v>581</v>
      </c>
      <c r="J64" s="3" t="s">
        <v>582</v>
      </c>
      <c r="L64" t="s">
        <v>583</v>
      </c>
      <c r="M64" t="s">
        <v>354</v>
      </c>
      <c r="N64">
        <v>60564</v>
      </c>
      <c r="O64" t="s">
        <v>584</v>
      </c>
      <c r="Q64" t="s">
        <v>585</v>
      </c>
    </row>
    <row r="65" spans="1:17" x14ac:dyDescent="0.25">
      <c r="A65" s="3" t="str">
        <f t="shared" si="0"/>
        <v>537-Brewer Capital Group</v>
      </c>
      <c r="B65" s="3">
        <v>537</v>
      </c>
      <c r="C65" s="3" t="s">
        <v>586</v>
      </c>
      <c r="D65" s="3" t="s">
        <v>587</v>
      </c>
      <c r="E65" s="3"/>
      <c r="F65" s="3"/>
      <c r="G65" s="3" t="s">
        <v>588</v>
      </c>
      <c r="H65" s="3" t="s">
        <v>589</v>
      </c>
      <c r="I65" s="3" t="s">
        <v>436</v>
      </c>
      <c r="J65" s="3" t="s">
        <v>590</v>
      </c>
      <c r="K65" t="s">
        <v>591</v>
      </c>
      <c r="L65" t="s">
        <v>22</v>
      </c>
      <c r="M65" t="s">
        <v>23</v>
      </c>
      <c r="N65">
        <v>77057</v>
      </c>
      <c r="O65">
        <v>7134433662</v>
      </c>
      <c r="Q65" t="s">
        <v>592</v>
      </c>
    </row>
    <row r="66" spans="1:17" x14ac:dyDescent="0.25">
      <c r="A66" s="3" t="str">
        <f t="shared" ref="A66:A129" si="1">IF(B66="","",B66&amp;"-"&amp;D66)</f>
        <v>605-Brincorp</v>
      </c>
      <c r="B66" s="3">
        <v>605</v>
      </c>
      <c r="C66" s="3" t="s">
        <v>593</v>
      </c>
      <c r="D66" s="3" t="s">
        <v>594</v>
      </c>
      <c r="E66" s="3"/>
      <c r="F66" s="3"/>
      <c r="G66" s="3" t="s">
        <v>595</v>
      </c>
      <c r="H66" s="3" t="s">
        <v>596</v>
      </c>
      <c r="I66" s="3" t="s">
        <v>597</v>
      </c>
      <c r="J66" s="3" t="s">
        <v>598</v>
      </c>
      <c r="L66" t="s">
        <v>22</v>
      </c>
      <c r="M66" t="s">
        <v>23</v>
      </c>
      <c r="N66">
        <v>77077</v>
      </c>
      <c r="O66">
        <v>7135985432</v>
      </c>
      <c r="Q66" t="s">
        <v>599</v>
      </c>
    </row>
    <row r="67" spans="1:17" x14ac:dyDescent="0.25">
      <c r="A67" s="3" t="str">
        <f t="shared" si="1"/>
        <v>511-Brothers Lighting &amp; Electrical Specialist, Inc.</v>
      </c>
      <c r="B67" s="3">
        <v>511</v>
      </c>
      <c r="C67" s="3" t="s">
        <v>600</v>
      </c>
      <c r="D67" s="3" t="s">
        <v>601</v>
      </c>
      <c r="E67" s="3"/>
      <c r="F67" s="3"/>
      <c r="G67" s="3" t="s">
        <v>602</v>
      </c>
      <c r="H67" s="3" t="s">
        <v>603</v>
      </c>
      <c r="I67" s="3" t="s">
        <v>185</v>
      </c>
      <c r="J67" s="3" t="s">
        <v>604</v>
      </c>
      <c r="L67" t="s">
        <v>605</v>
      </c>
      <c r="M67" t="s">
        <v>23</v>
      </c>
      <c r="N67">
        <v>77389</v>
      </c>
      <c r="O67" t="s">
        <v>606</v>
      </c>
      <c r="P67" t="s">
        <v>607</v>
      </c>
      <c r="Q67" t="s">
        <v>608</v>
      </c>
    </row>
    <row r="68" spans="1:17" x14ac:dyDescent="0.25">
      <c r="A68" s="3" t="str">
        <f t="shared" si="1"/>
        <v>552-Bryan Miller Gallery</v>
      </c>
      <c r="B68" s="3">
        <v>552</v>
      </c>
      <c r="C68" s="3" t="s">
        <v>609</v>
      </c>
      <c r="D68" s="3" t="s">
        <v>610</v>
      </c>
      <c r="E68" s="3"/>
      <c r="F68" s="3"/>
      <c r="G68" s="3" t="s">
        <v>472</v>
      </c>
      <c r="H68" s="3" t="s">
        <v>611</v>
      </c>
      <c r="I68" s="3" t="s">
        <v>612</v>
      </c>
      <c r="J68" s="3" t="s">
        <v>613</v>
      </c>
      <c r="L68" t="s">
        <v>22</v>
      </c>
      <c r="M68" t="s">
        <v>23</v>
      </c>
      <c r="N68">
        <v>77002</v>
      </c>
      <c r="O68" t="s">
        <v>614</v>
      </c>
      <c r="Q68" t="s">
        <v>615</v>
      </c>
    </row>
    <row r="69" spans="1:17" x14ac:dyDescent="0.25">
      <c r="A69" s="3" t="str">
        <f t="shared" si="1"/>
        <v>453-Budget Lighting Inc.</v>
      </c>
      <c r="B69" s="3">
        <v>453</v>
      </c>
      <c r="C69" s="3" t="s">
        <v>616</v>
      </c>
      <c r="D69" s="3" t="s">
        <v>617</v>
      </c>
      <c r="E69" s="3"/>
      <c r="F69" s="3"/>
      <c r="G69" s="3" t="s">
        <v>618</v>
      </c>
      <c r="H69" s="3" t="s">
        <v>619</v>
      </c>
      <c r="I69" s="3" t="s">
        <v>620</v>
      </c>
      <c r="J69" s="3" t="s">
        <v>621</v>
      </c>
      <c r="L69" t="s">
        <v>622</v>
      </c>
      <c r="M69" t="s">
        <v>623</v>
      </c>
      <c r="N69">
        <v>55345</v>
      </c>
      <c r="O69" t="s">
        <v>624</v>
      </c>
      <c r="P69" t="s">
        <v>625</v>
      </c>
      <c r="Q69" t="s">
        <v>626</v>
      </c>
    </row>
    <row r="70" spans="1:17" x14ac:dyDescent="0.25">
      <c r="A70" s="3" t="str">
        <f t="shared" si="1"/>
        <v xml:space="preserve">607-Building Energy Solution and Technology </v>
      </c>
      <c r="B70" s="3">
        <v>607</v>
      </c>
      <c r="C70" s="3" t="s">
        <v>627</v>
      </c>
      <c r="D70" s="3" t="s">
        <v>628</v>
      </c>
      <c r="E70" s="3"/>
      <c r="F70" s="3"/>
      <c r="G70" s="3" t="s">
        <v>629</v>
      </c>
      <c r="H70" s="3" t="s">
        <v>630</v>
      </c>
      <c r="I70" s="3" t="s">
        <v>631</v>
      </c>
      <c r="J70" s="3" t="s">
        <v>632</v>
      </c>
      <c r="L70" t="s">
        <v>633</v>
      </c>
      <c r="M70" t="s">
        <v>634</v>
      </c>
      <c r="N70" t="s">
        <v>635</v>
      </c>
      <c r="O70" t="s">
        <v>636</v>
      </c>
      <c r="P70" t="s">
        <v>637</v>
      </c>
      <c r="Q70" t="s">
        <v>638</v>
      </c>
    </row>
    <row r="71" spans="1:17" x14ac:dyDescent="0.25">
      <c r="A71" s="3" t="str">
        <f t="shared" si="1"/>
        <v>448-Burlington Coat Factory</v>
      </c>
      <c r="B71" s="3">
        <v>448</v>
      </c>
      <c r="C71" s="3" t="s">
        <v>639</v>
      </c>
      <c r="D71" s="3" t="s">
        <v>640</v>
      </c>
      <c r="E71" s="3" t="s">
        <v>641</v>
      </c>
      <c r="F71" s="3" t="s">
        <v>642</v>
      </c>
      <c r="G71" s="3" t="s">
        <v>643</v>
      </c>
      <c r="H71" s="3" t="s">
        <v>644</v>
      </c>
      <c r="I71" s="3" t="s">
        <v>645</v>
      </c>
      <c r="J71" s="3" t="s">
        <v>646</v>
      </c>
      <c r="L71" t="s">
        <v>647</v>
      </c>
      <c r="M71" t="s">
        <v>648</v>
      </c>
      <c r="N71">
        <v>8016</v>
      </c>
      <c r="O71" t="s">
        <v>649</v>
      </c>
      <c r="P71" t="s">
        <v>650</v>
      </c>
      <c r="Q71" t="s">
        <v>651</v>
      </c>
    </row>
    <row r="72" spans="1:17" x14ac:dyDescent="0.25">
      <c r="A72" s="3" t="str">
        <f t="shared" si="1"/>
        <v>544-Burlington Coat Factory</v>
      </c>
      <c r="B72" s="3">
        <v>544</v>
      </c>
      <c r="C72" s="3" t="s">
        <v>642</v>
      </c>
      <c r="D72" s="3" t="s">
        <v>640</v>
      </c>
      <c r="E72" s="3"/>
      <c r="F72" s="3"/>
      <c r="G72" s="3" t="s">
        <v>643</v>
      </c>
      <c r="H72" s="3" t="s">
        <v>644</v>
      </c>
      <c r="I72" s="3" t="s">
        <v>652</v>
      </c>
      <c r="J72" s="3" t="s">
        <v>653</v>
      </c>
      <c r="L72" t="s">
        <v>647</v>
      </c>
      <c r="M72" t="s">
        <v>648</v>
      </c>
      <c r="N72">
        <v>8016</v>
      </c>
      <c r="O72" t="s">
        <v>654</v>
      </c>
      <c r="Q72" t="s">
        <v>651</v>
      </c>
    </row>
    <row r="73" spans="1:17" x14ac:dyDescent="0.25">
      <c r="A73" s="3" t="str">
        <f t="shared" si="1"/>
        <v>339-Burns DeLatte &amp; McCoy, Inc.</v>
      </c>
      <c r="B73" s="3">
        <v>339</v>
      </c>
      <c r="C73" s="3" t="s">
        <v>655</v>
      </c>
      <c r="D73" s="3" t="s">
        <v>656</v>
      </c>
      <c r="E73" s="3" t="s">
        <v>657</v>
      </c>
      <c r="F73" s="3"/>
      <c r="G73" s="3" t="s">
        <v>339</v>
      </c>
      <c r="H73" s="3" t="s">
        <v>658</v>
      </c>
      <c r="I73" s="3" t="s">
        <v>436</v>
      </c>
      <c r="J73" s="3" t="s">
        <v>659</v>
      </c>
      <c r="K73" t="s">
        <v>270</v>
      </c>
      <c r="L73" t="s">
        <v>22</v>
      </c>
      <c r="M73" t="s">
        <v>23</v>
      </c>
      <c r="N73">
        <v>77007</v>
      </c>
      <c r="O73" t="s">
        <v>660</v>
      </c>
      <c r="P73" t="s">
        <v>661</v>
      </c>
      <c r="Q73" t="s">
        <v>662</v>
      </c>
    </row>
    <row r="74" spans="1:17" x14ac:dyDescent="0.25">
      <c r="A74" s="3" t="str">
        <f t="shared" si="1"/>
        <v>431-BURY CHPA</v>
      </c>
      <c r="B74" s="3">
        <v>431</v>
      </c>
      <c r="C74" s="3" t="s">
        <v>663</v>
      </c>
      <c r="D74" s="5" t="s">
        <v>664</v>
      </c>
      <c r="E74" s="3" t="s">
        <v>665</v>
      </c>
      <c r="F74" s="3"/>
      <c r="G74" s="3" t="s">
        <v>666</v>
      </c>
      <c r="H74" s="3" t="s">
        <v>667</v>
      </c>
      <c r="I74" s="3" t="s">
        <v>668</v>
      </c>
      <c r="J74" s="3" t="s">
        <v>669</v>
      </c>
      <c r="L74" t="s">
        <v>22</v>
      </c>
      <c r="M74" t="s">
        <v>23</v>
      </c>
      <c r="N74">
        <v>77063</v>
      </c>
      <c r="O74" t="s">
        <v>670</v>
      </c>
      <c r="P74" t="s">
        <v>671</v>
      </c>
      <c r="Q74" s="6" t="s">
        <v>672</v>
      </c>
    </row>
    <row r="75" spans="1:17" x14ac:dyDescent="0.25">
      <c r="A75" s="3" t="str">
        <f t="shared" si="1"/>
        <v>234-Caliber Lighting and Energy</v>
      </c>
      <c r="B75" s="3">
        <v>234</v>
      </c>
      <c r="C75" s="3" t="s">
        <v>673</v>
      </c>
      <c r="D75" s="3" t="s">
        <v>674</v>
      </c>
      <c r="E75" s="3"/>
      <c r="F75" s="3"/>
      <c r="G75" s="3" t="s">
        <v>675</v>
      </c>
      <c r="H75" s="3" t="s">
        <v>676</v>
      </c>
      <c r="I75" s="3" t="s">
        <v>677</v>
      </c>
      <c r="J75" s="3" t="s">
        <v>678</v>
      </c>
      <c r="L75" t="s">
        <v>554</v>
      </c>
      <c r="M75" t="s">
        <v>23</v>
      </c>
      <c r="N75">
        <v>77429</v>
      </c>
      <c r="O75" t="s">
        <v>679</v>
      </c>
      <c r="Q75" t="s">
        <v>680</v>
      </c>
    </row>
    <row r="76" spans="1:17" x14ac:dyDescent="0.25">
      <c r="A76" s="3" t="str">
        <f t="shared" si="1"/>
        <v>293-CARMAX</v>
      </c>
      <c r="B76" s="3">
        <v>293</v>
      </c>
      <c r="C76" s="3" t="s">
        <v>681</v>
      </c>
      <c r="D76" s="3" t="s">
        <v>682</v>
      </c>
      <c r="E76" s="3"/>
      <c r="F76" s="3"/>
      <c r="G76" s="3" t="s">
        <v>683</v>
      </c>
      <c r="H76" s="3" t="s">
        <v>684</v>
      </c>
      <c r="I76" s="3" t="s">
        <v>685</v>
      </c>
      <c r="J76" s="3" t="s">
        <v>686</v>
      </c>
      <c r="L76" t="s">
        <v>687</v>
      </c>
      <c r="M76" t="s">
        <v>688</v>
      </c>
      <c r="N76">
        <v>23238</v>
      </c>
      <c r="O76" t="s">
        <v>689</v>
      </c>
      <c r="Q76" t="s">
        <v>690</v>
      </c>
    </row>
    <row r="77" spans="1:17" x14ac:dyDescent="0.25">
      <c r="A77" s="3" t="str">
        <f t="shared" si="1"/>
        <v>283-Carrier Commercial Service</v>
      </c>
      <c r="B77" s="3">
        <v>283</v>
      </c>
      <c r="C77" s="3" t="s">
        <v>691</v>
      </c>
      <c r="D77" s="3" t="s">
        <v>692</v>
      </c>
      <c r="E77" s="3" t="s">
        <v>693</v>
      </c>
      <c r="F77" s="3" t="s">
        <v>691</v>
      </c>
      <c r="G77" s="3" t="s">
        <v>398</v>
      </c>
      <c r="H77" s="3" t="s">
        <v>694</v>
      </c>
      <c r="I77" s="3" t="s">
        <v>695</v>
      </c>
      <c r="J77" s="3" t="s">
        <v>696</v>
      </c>
      <c r="L77" t="s">
        <v>22</v>
      </c>
      <c r="M77" t="s">
        <v>23</v>
      </c>
      <c r="N77" t="s">
        <v>697</v>
      </c>
      <c r="O77" t="s">
        <v>698</v>
      </c>
      <c r="P77" t="s">
        <v>699</v>
      </c>
      <c r="Q77" t="s">
        <v>700</v>
      </c>
    </row>
    <row r="78" spans="1:17" x14ac:dyDescent="0.25">
      <c r="A78" s="3" t="str">
        <f t="shared" si="1"/>
        <v>334-Carrier South Texas</v>
      </c>
      <c r="B78" s="3">
        <v>334</v>
      </c>
      <c r="C78" s="3" t="s">
        <v>701</v>
      </c>
      <c r="D78" s="3" t="s">
        <v>702</v>
      </c>
      <c r="E78" s="3" t="s">
        <v>693</v>
      </c>
      <c r="F78" s="3"/>
      <c r="G78" s="3" t="s">
        <v>703</v>
      </c>
      <c r="H78" s="3" t="s">
        <v>704</v>
      </c>
      <c r="I78" s="3" t="s">
        <v>705</v>
      </c>
      <c r="J78" s="3" t="s">
        <v>706</v>
      </c>
      <c r="L78" t="s">
        <v>22</v>
      </c>
      <c r="M78" t="s">
        <v>23</v>
      </c>
      <c r="N78">
        <v>77041</v>
      </c>
      <c r="O78" t="s">
        <v>707</v>
      </c>
      <c r="P78" t="s">
        <v>708</v>
      </c>
      <c r="Q78" t="s">
        <v>709</v>
      </c>
    </row>
    <row r="79" spans="1:17" x14ac:dyDescent="0.25">
      <c r="A79" s="3" t="str">
        <f t="shared" si="1"/>
        <v>484-Cascade Energy, Inc.</v>
      </c>
      <c r="B79" s="3">
        <v>484</v>
      </c>
      <c r="C79" s="3" t="s">
        <v>710</v>
      </c>
      <c r="D79" s="3" t="s">
        <v>711</v>
      </c>
      <c r="E79" s="3"/>
      <c r="F79" s="3"/>
      <c r="G79" s="3" t="s">
        <v>712</v>
      </c>
      <c r="H79" s="3" t="s">
        <v>713</v>
      </c>
      <c r="I79" s="3" t="s">
        <v>714</v>
      </c>
      <c r="J79" s="3" t="s">
        <v>715</v>
      </c>
      <c r="L79" t="s">
        <v>716</v>
      </c>
      <c r="M79" t="s">
        <v>176</v>
      </c>
      <c r="N79">
        <v>84062</v>
      </c>
      <c r="O79" t="s">
        <v>717</v>
      </c>
      <c r="Q79" t="s">
        <v>718</v>
      </c>
    </row>
    <row r="80" spans="1:17" x14ac:dyDescent="0.25">
      <c r="A80" s="3" t="str">
        <f t="shared" si="1"/>
        <v>551-CED Conroe</v>
      </c>
      <c r="B80" s="3">
        <v>551</v>
      </c>
      <c r="C80" s="3" t="s">
        <v>719</v>
      </c>
      <c r="D80" s="3" t="s">
        <v>720</v>
      </c>
      <c r="E80" s="3" t="s">
        <v>721</v>
      </c>
      <c r="F80" s="3"/>
      <c r="G80" s="3" t="s">
        <v>30</v>
      </c>
      <c r="H80" s="3" t="s">
        <v>722</v>
      </c>
      <c r="I80" s="3" t="s">
        <v>390</v>
      </c>
      <c r="J80" s="3" t="s">
        <v>723</v>
      </c>
      <c r="L80" t="s">
        <v>724</v>
      </c>
      <c r="M80" t="s">
        <v>23</v>
      </c>
      <c r="N80">
        <v>77301</v>
      </c>
      <c r="O80" t="s">
        <v>725</v>
      </c>
      <c r="P80" t="s">
        <v>726</v>
      </c>
      <c r="Q80" t="s">
        <v>727</v>
      </c>
    </row>
    <row r="81" spans="1:17" x14ac:dyDescent="0.25">
      <c r="A81" s="3" t="str">
        <f t="shared" si="1"/>
        <v>594-CED Houston</v>
      </c>
      <c r="B81" s="3">
        <v>594</v>
      </c>
      <c r="C81" s="3" t="s">
        <v>728</v>
      </c>
      <c r="D81" s="3" t="s">
        <v>729</v>
      </c>
      <c r="E81" s="3"/>
      <c r="F81" s="3"/>
      <c r="G81" s="3" t="s">
        <v>730</v>
      </c>
      <c r="H81" s="3" t="s">
        <v>731</v>
      </c>
      <c r="I81" s="3" t="s">
        <v>732</v>
      </c>
      <c r="J81" s="3" t="s">
        <v>733</v>
      </c>
      <c r="L81" t="s">
        <v>22</v>
      </c>
      <c r="M81" t="s">
        <v>23</v>
      </c>
      <c r="N81">
        <v>77067</v>
      </c>
      <c r="O81" t="s">
        <v>734</v>
      </c>
      <c r="Q81" t="s">
        <v>735</v>
      </c>
    </row>
    <row r="82" spans="1:17" x14ac:dyDescent="0.25">
      <c r="A82" s="3" t="str">
        <f t="shared" si="1"/>
        <v>595-CED Houston</v>
      </c>
      <c r="B82" s="3">
        <v>595</v>
      </c>
      <c r="C82" s="3" t="s">
        <v>728</v>
      </c>
      <c r="D82" s="3" t="s">
        <v>729</v>
      </c>
      <c r="E82" s="3"/>
      <c r="F82" s="3"/>
      <c r="G82" s="3" t="s">
        <v>730</v>
      </c>
      <c r="H82" s="3" t="s">
        <v>731</v>
      </c>
      <c r="I82" s="3" t="s">
        <v>732</v>
      </c>
      <c r="J82" s="3" t="s">
        <v>733</v>
      </c>
      <c r="L82" t="s">
        <v>22</v>
      </c>
      <c r="M82" t="s">
        <v>23</v>
      </c>
      <c r="N82">
        <v>77067</v>
      </c>
      <c r="O82" t="s">
        <v>734</v>
      </c>
      <c r="Q82" t="s">
        <v>735</v>
      </c>
    </row>
    <row r="83" spans="1:17" x14ac:dyDescent="0.25">
      <c r="A83" s="3" t="str">
        <f t="shared" si="1"/>
        <v>388-Chart Inc.</v>
      </c>
      <c r="B83" s="3">
        <v>388</v>
      </c>
      <c r="C83" s="3" t="s">
        <v>736</v>
      </c>
      <c r="D83" s="3" t="s">
        <v>737</v>
      </c>
      <c r="E83" s="3"/>
      <c r="F83" s="3"/>
      <c r="G83" s="3" t="s">
        <v>738</v>
      </c>
      <c r="H83" s="3" t="s">
        <v>739</v>
      </c>
      <c r="I83" s="3" t="s">
        <v>740</v>
      </c>
      <c r="J83" s="3" t="s">
        <v>741</v>
      </c>
      <c r="L83" t="s">
        <v>742</v>
      </c>
      <c r="M83" t="s">
        <v>623</v>
      </c>
      <c r="N83">
        <v>56071</v>
      </c>
      <c r="O83" t="s">
        <v>743</v>
      </c>
      <c r="Q83" t="s">
        <v>744</v>
      </c>
    </row>
    <row r="84" spans="1:17" x14ac:dyDescent="0.25">
      <c r="A84" s="3" t="str">
        <f t="shared" si="1"/>
        <v>479-Chevron Energy Solutions Company, a Division of Ch</v>
      </c>
      <c r="B84" s="3">
        <v>479</v>
      </c>
      <c r="C84" s="3" t="s">
        <v>745</v>
      </c>
      <c r="D84" s="3" t="s">
        <v>746</v>
      </c>
      <c r="E84" s="3" t="s">
        <v>747</v>
      </c>
      <c r="F84" s="3" t="s">
        <v>745</v>
      </c>
      <c r="G84" s="3" t="s">
        <v>238</v>
      </c>
      <c r="H84" s="3" t="s">
        <v>748</v>
      </c>
      <c r="I84" s="3" t="s">
        <v>68</v>
      </c>
      <c r="J84" s="3" t="s">
        <v>749</v>
      </c>
      <c r="L84" t="s">
        <v>750</v>
      </c>
      <c r="M84" t="s">
        <v>280</v>
      </c>
      <c r="N84">
        <v>66213</v>
      </c>
      <c r="O84" t="s">
        <v>751</v>
      </c>
      <c r="Q84" t="s">
        <v>752</v>
      </c>
    </row>
    <row r="85" spans="1:17" x14ac:dyDescent="0.25">
      <c r="A85" s="3" t="str">
        <f t="shared" si="1"/>
        <v>359-Chilson Enterprise, LLC dba Magnum Roofing</v>
      </c>
      <c r="B85" s="3">
        <v>359</v>
      </c>
      <c r="C85" s="3" t="s">
        <v>753</v>
      </c>
      <c r="D85" s="3" t="s">
        <v>754</v>
      </c>
      <c r="E85" s="3"/>
      <c r="F85" s="3"/>
      <c r="G85" s="3" t="s">
        <v>755</v>
      </c>
      <c r="H85" s="3" t="s">
        <v>756</v>
      </c>
      <c r="I85" s="3" t="s">
        <v>757</v>
      </c>
      <c r="J85" s="3" t="s">
        <v>758</v>
      </c>
      <c r="L85" t="s">
        <v>759</v>
      </c>
      <c r="M85" t="s">
        <v>23</v>
      </c>
      <c r="N85">
        <v>77584</v>
      </c>
      <c r="O85" t="s">
        <v>760</v>
      </c>
      <c r="P85" t="s">
        <v>761</v>
      </c>
      <c r="Q85" t="s">
        <v>762</v>
      </c>
    </row>
    <row r="86" spans="1:17" x14ac:dyDescent="0.25">
      <c r="A86" s="3" t="str">
        <f t="shared" si="1"/>
        <v>324-City of Houston</v>
      </c>
      <c r="B86" s="3">
        <v>324</v>
      </c>
      <c r="C86" s="3" t="s">
        <v>763</v>
      </c>
      <c r="D86" s="3" t="s">
        <v>764</v>
      </c>
      <c r="E86" s="3"/>
      <c r="F86" s="3" t="s">
        <v>763</v>
      </c>
      <c r="G86" s="3" t="s">
        <v>765</v>
      </c>
      <c r="H86" s="3" t="s">
        <v>619</v>
      </c>
      <c r="I86" s="3" t="s">
        <v>766</v>
      </c>
      <c r="J86" s="3" t="s">
        <v>767</v>
      </c>
      <c r="L86" t="s">
        <v>22</v>
      </c>
      <c r="M86" t="s">
        <v>23</v>
      </c>
      <c r="N86" t="s">
        <v>768</v>
      </c>
      <c r="O86" t="s">
        <v>769</v>
      </c>
      <c r="P86">
        <v>7134376859</v>
      </c>
      <c r="Q86" t="s">
        <v>770</v>
      </c>
    </row>
    <row r="87" spans="1:17" x14ac:dyDescent="0.25">
      <c r="A87" s="3" t="str">
        <f t="shared" si="1"/>
        <v>526-Clay Development &amp; Construction, Inc.</v>
      </c>
      <c r="B87" s="3">
        <v>526</v>
      </c>
      <c r="C87" s="3" t="s">
        <v>771</v>
      </c>
      <c r="D87" s="3" t="s">
        <v>772</v>
      </c>
      <c r="E87" s="3"/>
      <c r="F87" s="3"/>
      <c r="G87" s="3" t="s">
        <v>773</v>
      </c>
      <c r="H87" s="3" t="s">
        <v>774</v>
      </c>
      <c r="I87" s="3" t="s">
        <v>775</v>
      </c>
      <c r="J87" s="3" t="s">
        <v>776</v>
      </c>
      <c r="L87" t="s">
        <v>22</v>
      </c>
      <c r="M87" t="s">
        <v>23</v>
      </c>
      <c r="N87">
        <v>77056</v>
      </c>
      <c r="O87" t="s">
        <v>777</v>
      </c>
      <c r="P87">
        <v>7137823755</v>
      </c>
      <c r="Q87" t="s">
        <v>778</v>
      </c>
    </row>
    <row r="88" spans="1:17" x14ac:dyDescent="0.25">
      <c r="A88" s="3" t="str">
        <f t="shared" si="1"/>
        <v>279-Coleman Hines</v>
      </c>
      <c r="B88" s="3">
        <v>279</v>
      </c>
      <c r="C88" s="3" t="s">
        <v>779</v>
      </c>
      <c r="D88" s="3" t="s">
        <v>780</v>
      </c>
      <c r="E88" s="3"/>
      <c r="F88" s="3"/>
      <c r="G88" s="3" t="s">
        <v>781</v>
      </c>
      <c r="H88" s="3" t="s">
        <v>782</v>
      </c>
      <c r="I88" s="3" t="s">
        <v>783</v>
      </c>
      <c r="J88" s="3" t="s">
        <v>784</v>
      </c>
      <c r="K88" t="s">
        <v>785</v>
      </c>
      <c r="L88" t="s">
        <v>786</v>
      </c>
      <c r="M88" t="s">
        <v>787</v>
      </c>
      <c r="N88">
        <v>85050</v>
      </c>
      <c r="O88" t="s">
        <v>788</v>
      </c>
      <c r="P88" t="s">
        <v>789</v>
      </c>
      <c r="Q88" t="s">
        <v>790</v>
      </c>
    </row>
    <row r="89" spans="1:17" x14ac:dyDescent="0.25">
      <c r="A89" s="3" t="str">
        <f t="shared" si="1"/>
        <v>297-Coleman Hines / Barnes and Noble</v>
      </c>
      <c r="B89" s="3">
        <v>297</v>
      </c>
      <c r="C89" s="3" t="s">
        <v>791</v>
      </c>
      <c r="D89" s="3" t="s">
        <v>792</v>
      </c>
      <c r="E89" s="3"/>
      <c r="F89" s="3"/>
      <c r="G89" s="3" t="s">
        <v>793</v>
      </c>
      <c r="H89" s="3" t="s">
        <v>444</v>
      </c>
      <c r="I89" s="3" t="s">
        <v>445</v>
      </c>
      <c r="J89" s="3" t="s">
        <v>446</v>
      </c>
      <c r="L89" t="s">
        <v>447</v>
      </c>
      <c r="M89" t="s">
        <v>448</v>
      </c>
      <c r="N89">
        <v>10011</v>
      </c>
      <c r="O89" t="s">
        <v>449</v>
      </c>
      <c r="P89" t="s">
        <v>450</v>
      </c>
      <c r="Q89" t="s">
        <v>794</v>
      </c>
    </row>
    <row r="90" spans="1:17" x14ac:dyDescent="0.25">
      <c r="A90" s="3" t="str">
        <f t="shared" si="1"/>
        <v>313-Coleman Hines / Brinker International Payroll Co</v>
      </c>
      <c r="B90" s="3">
        <v>313</v>
      </c>
      <c r="C90" s="3" t="s">
        <v>795</v>
      </c>
      <c r="D90" s="3" t="s">
        <v>796</v>
      </c>
      <c r="E90" s="3"/>
      <c r="F90" s="3"/>
      <c r="G90" s="3" t="s">
        <v>797</v>
      </c>
      <c r="H90" s="3" t="s">
        <v>798</v>
      </c>
      <c r="I90" s="3" t="s">
        <v>799</v>
      </c>
      <c r="J90" s="3" t="s">
        <v>800</v>
      </c>
      <c r="L90" t="s">
        <v>439</v>
      </c>
      <c r="M90" t="s">
        <v>23</v>
      </c>
      <c r="N90">
        <v>75240</v>
      </c>
      <c r="O90" t="s">
        <v>801</v>
      </c>
      <c r="P90" t="s">
        <v>802</v>
      </c>
      <c r="Q90" t="s">
        <v>803</v>
      </c>
    </row>
    <row r="91" spans="1:17" x14ac:dyDescent="0.25">
      <c r="A91" s="3" t="str">
        <f t="shared" si="1"/>
        <v>312-Coleman Hines / PETsMART Inc</v>
      </c>
      <c r="B91" s="3">
        <v>312</v>
      </c>
      <c r="C91" s="3" t="s">
        <v>804</v>
      </c>
      <c r="D91" s="3" t="s">
        <v>805</v>
      </c>
      <c r="E91" s="3"/>
      <c r="F91" s="3"/>
      <c r="G91" s="3" t="s">
        <v>773</v>
      </c>
      <c r="H91" s="3" t="s">
        <v>806</v>
      </c>
      <c r="I91" s="3" t="s">
        <v>807</v>
      </c>
      <c r="J91" s="3" t="s">
        <v>808</v>
      </c>
      <c r="L91" t="s">
        <v>809</v>
      </c>
      <c r="M91" t="s">
        <v>787</v>
      </c>
      <c r="N91">
        <v>85255</v>
      </c>
      <c r="O91" t="s">
        <v>810</v>
      </c>
      <c r="P91" t="s">
        <v>789</v>
      </c>
      <c r="Q91" t="s">
        <v>811</v>
      </c>
    </row>
    <row r="92" spans="1:17" x14ac:dyDescent="0.25">
      <c r="A92" s="3" t="str">
        <f t="shared" si="1"/>
        <v>366-Comfort Suites Westchase</v>
      </c>
      <c r="B92" s="3">
        <v>366</v>
      </c>
      <c r="C92" s="3" t="s">
        <v>812</v>
      </c>
      <c r="D92" s="3" t="s">
        <v>813</v>
      </c>
      <c r="E92" s="3"/>
      <c r="F92" s="3"/>
      <c r="G92" s="3" t="s">
        <v>814</v>
      </c>
      <c r="H92" s="3" t="s">
        <v>815</v>
      </c>
      <c r="I92" s="3" t="s">
        <v>816</v>
      </c>
      <c r="J92" s="3" t="s">
        <v>817</v>
      </c>
      <c r="L92" t="s">
        <v>22</v>
      </c>
      <c r="M92" t="s">
        <v>23</v>
      </c>
      <c r="N92">
        <v>77042</v>
      </c>
      <c r="O92" t="s">
        <v>818</v>
      </c>
      <c r="P92" t="s">
        <v>819</v>
      </c>
      <c r="Q92" t="s">
        <v>820</v>
      </c>
    </row>
    <row r="93" spans="1:17" x14ac:dyDescent="0.25">
      <c r="A93" s="3" t="str">
        <f t="shared" si="1"/>
        <v>488-Comfort Systems USA</v>
      </c>
      <c r="B93" s="3">
        <v>488</v>
      </c>
      <c r="C93" s="3" t="s">
        <v>821</v>
      </c>
      <c r="D93" s="3" t="s">
        <v>822</v>
      </c>
      <c r="E93" s="3"/>
      <c r="F93" s="3"/>
      <c r="G93" s="3" t="s">
        <v>823</v>
      </c>
      <c r="H93" s="3" t="s">
        <v>824</v>
      </c>
      <c r="I93" s="3" t="s">
        <v>825</v>
      </c>
      <c r="J93" s="3" t="s">
        <v>826</v>
      </c>
      <c r="L93" t="s">
        <v>827</v>
      </c>
      <c r="M93" t="s">
        <v>828</v>
      </c>
      <c r="N93">
        <v>6095</v>
      </c>
      <c r="O93" t="s">
        <v>829</v>
      </c>
      <c r="Q93" t="s">
        <v>830</v>
      </c>
    </row>
    <row r="94" spans="1:17" x14ac:dyDescent="0.25">
      <c r="A94" s="3" t="str">
        <f t="shared" si="1"/>
        <v>401-Constellation NewEnergy, Inc.</v>
      </c>
      <c r="B94" s="3">
        <v>401</v>
      </c>
      <c r="C94" s="3" t="s">
        <v>831</v>
      </c>
      <c r="D94" s="3" t="s">
        <v>832</v>
      </c>
      <c r="E94" s="3"/>
      <c r="F94" s="3"/>
      <c r="G94" s="3" t="s">
        <v>833</v>
      </c>
      <c r="H94" s="3" t="s">
        <v>834</v>
      </c>
      <c r="I94" s="3" t="s">
        <v>370</v>
      </c>
      <c r="J94" s="3" t="s">
        <v>835</v>
      </c>
      <c r="L94" t="s">
        <v>22</v>
      </c>
      <c r="M94" t="s">
        <v>23</v>
      </c>
      <c r="N94">
        <v>77010</v>
      </c>
      <c r="O94" t="s">
        <v>836</v>
      </c>
      <c r="Q94" t="s">
        <v>837</v>
      </c>
    </row>
    <row r="95" spans="1:17" x14ac:dyDescent="0.25">
      <c r="A95" s="3" t="str">
        <f t="shared" si="1"/>
        <v>616-Convergentz</v>
      </c>
      <c r="B95" s="3">
        <v>616</v>
      </c>
      <c r="C95" s="3" t="s">
        <v>838</v>
      </c>
      <c r="D95" s="3" t="s">
        <v>839</v>
      </c>
      <c r="E95" s="3" t="s">
        <v>840</v>
      </c>
      <c r="F95" s="3" t="s">
        <v>838</v>
      </c>
      <c r="G95" s="3" t="s">
        <v>841</v>
      </c>
      <c r="H95" s="3" t="s">
        <v>842</v>
      </c>
      <c r="I95" s="3" t="s">
        <v>277</v>
      </c>
      <c r="J95" s="3" t="s">
        <v>843</v>
      </c>
      <c r="L95" t="s">
        <v>22</v>
      </c>
      <c r="M95" t="s">
        <v>23</v>
      </c>
      <c r="N95">
        <v>77042</v>
      </c>
      <c r="O95" t="s">
        <v>844</v>
      </c>
      <c r="Q95" t="s">
        <v>845</v>
      </c>
    </row>
    <row r="96" spans="1:17" x14ac:dyDescent="0.25">
      <c r="A96" s="3" t="str">
        <f t="shared" si="1"/>
        <v>541-Costco Wholesale</v>
      </c>
      <c r="B96" s="3">
        <v>541</v>
      </c>
      <c r="C96" s="3" t="s">
        <v>846</v>
      </c>
      <c r="D96" s="3" t="s">
        <v>847</v>
      </c>
      <c r="E96" s="3"/>
      <c r="F96" s="3"/>
      <c r="G96" s="3" t="s">
        <v>848</v>
      </c>
      <c r="H96" s="3" t="s">
        <v>849</v>
      </c>
      <c r="I96" s="3" t="s">
        <v>850</v>
      </c>
      <c r="J96" s="3" t="s">
        <v>851</v>
      </c>
      <c r="L96" t="s">
        <v>852</v>
      </c>
      <c r="M96" t="s">
        <v>853</v>
      </c>
      <c r="N96">
        <v>98027</v>
      </c>
      <c r="O96" t="s">
        <v>854</v>
      </c>
      <c r="Q96" t="s">
        <v>855</v>
      </c>
    </row>
    <row r="97" spans="1:17" x14ac:dyDescent="0.25">
      <c r="A97" s="3" t="str">
        <f t="shared" si="1"/>
        <v>634-Crawford Electric Supply</v>
      </c>
      <c r="B97">
        <v>634</v>
      </c>
      <c r="D97" t="s">
        <v>856</v>
      </c>
      <c r="G97" t="s">
        <v>857</v>
      </c>
      <c r="H97" t="s">
        <v>858</v>
      </c>
      <c r="J97" t="s">
        <v>859</v>
      </c>
      <c r="L97" t="s">
        <v>22</v>
      </c>
      <c r="M97" t="s">
        <v>23</v>
      </c>
      <c r="N97" s="4" t="s">
        <v>860</v>
      </c>
      <c r="O97" t="s">
        <v>861</v>
      </c>
      <c r="Q97" s="6" t="s">
        <v>862</v>
      </c>
    </row>
    <row r="98" spans="1:17" x14ac:dyDescent="0.25">
      <c r="A98" s="3" t="str">
        <f t="shared" si="1"/>
        <v>309-CVS pharmacy</v>
      </c>
      <c r="B98" s="3">
        <v>309</v>
      </c>
      <c r="C98" s="3" t="s">
        <v>863</v>
      </c>
      <c r="D98" s="3" t="s">
        <v>864</v>
      </c>
      <c r="E98" s="3"/>
      <c r="F98" s="3"/>
      <c r="G98" s="3" t="s">
        <v>865</v>
      </c>
      <c r="H98" s="3" t="s">
        <v>866</v>
      </c>
      <c r="I98" s="3" t="s">
        <v>867</v>
      </c>
      <c r="J98" s="3" t="s">
        <v>868</v>
      </c>
      <c r="L98" t="s">
        <v>869</v>
      </c>
      <c r="M98" t="s">
        <v>870</v>
      </c>
      <c r="N98">
        <v>2895</v>
      </c>
      <c r="O98" t="s">
        <v>871</v>
      </c>
      <c r="Q98" t="s">
        <v>872</v>
      </c>
    </row>
    <row r="99" spans="1:17" x14ac:dyDescent="0.25">
      <c r="A99" s="3" t="str">
        <f t="shared" si="1"/>
        <v>584-Cyberonics</v>
      </c>
      <c r="B99" s="3">
        <v>584</v>
      </c>
      <c r="C99" s="3" t="s">
        <v>873</v>
      </c>
      <c r="D99" s="3" t="s">
        <v>874</v>
      </c>
      <c r="E99" s="3"/>
      <c r="F99" s="3"/>
      <c r="G99" s="3" t="s">
        <v>875</v>
      </c>
      <c r="H99" s="3" t="s">
        <v>876</v>
      </c>
      <c r="I99" s="3" t="s">
        <v>877</v>
      </c>
      <c r="J99" s="3" t="s">
        <v>878</v>
      </c>
      <c r="L99" t="s">
        <v>22</v>
      </c>
      <c r="M99" t="s">
        <v>23</v>
      </c>
      <c r="N99">
        <v>77058</v>
      </c>
      <c r="O99" t="s">
        <v>879</v>
      </c>
      <c r="Q99" t="s">
        <v>880</v>
      </c>
    </row>
    <row r="100" spans="1:17" x14ac:dyDescent="0.25">
      <c r="A100" s="3" t="str">
        <f t="shared" si="1"/>
        <v>333-Cypress Fairbanks ISD</v>
      </c>
      <c r="B100" s="3">
        <v>333</v>
      </c>
      <c r="C100" s="3" t="s">
        <v>881</v>
      </c>
      <c r="D100" s="3" t="s">
        <v>882</v>
      </c>
      <c r="E100" s="3"/>
      <c r="F100" s="3"/>
      <c r="G100" s="3" t="s">
        <v>883</v>
      </c>
      <c r="H100" s="3" t="s">
        <v>884</v>
      </c>
      <c r="I100" s="3" t="s">
        <v>652</v>
      </c>
      <c r="J100" s="3" t="s">
        <v>885</v>
      </c>
      <c r="L100" t="s">
        <v>22</v>
      </c>
      <c r="M100" t="s">
        <v>23</v>
      </c>
      <c r="N100">
        <v>77064</v>
      </c>
      <c r="O100" t="s">
        <v>886</v>
      </c>
      <c r="P100" t="s">
        <v>887</v>
      </c>
      <c r="Q100" t="s">
        <v>888</v>
      </c>
    </row>
    <row r="101" spans="1:17" x14ac:dyDescent="0.25">
      <c r="A101" s="3" t="str">
        <f t="shared" si="1"/>
        <v>574-Delta T Corporation d/b/a Big Ass Fans</v>
      </c>
      <c r="B101" s="3">
        <v>574</v>
      </c>
      <c r="C101" s="3" t="s">
        <v>889</v>
      </c>
      <c r="D101" s="3" t="s">
        <v>890</v>
      </c>
      <c r="E101" s="3"/>
      <c r="F101" s="3"/>
      <c r="G101" s="3" t="s">
        <v>891</v>
      </c>
      <c r="H101" s="3" t="s">
        <v>892</v>
      </c>
      <c r="I101" s="3" t="s">
        <v>893</v>
      </c>
      <c r="J101" s="3" t="s">
        <v>894</v>
      </c>
      <c r="L101" t="s">
        <v>895</v>
      </c>
      <c r="M101" t="s">
        <v>536</v>
      </c>
      <c r="N101">
        <v>40575</v>
      </c>
      <c r="O101" t="s">
        <v>896</v>
      </c>
      <c r="Q101" t="s">
        <v>897</v>
      </c>
    </row>
    <row r="102" spans="1:17" x14ac:dyDescent="0.25">
      <c r="A102" s="3" t="str">
        <f t="shared" si="1"/>
        <v>340-Design Electric</v>
      </c>
      <c r="B102" s="3">
        <v>340</v>
      </c>
      <c r="C102" s="3" t="s">
        <v>898</v>
      </c>
      <c r="D102" s="3" t="s">
        <v>899</v>
      </c>
      <c r="E102" s="3"/>
      <c r="F102" s="3"/>
      <c r="G102" s="3" t="s">
        <v>900</v>
      </c>
      <c r="H102" s="3" t="s">
        <v>901</v>
      </c>
      <c r="I102" s="3" t="s">
        <v>902</v>
      </c>
      <c r="J102" s="3" t="s">
        <v>289</v>
      </c>
      <c r="L102" t="s">
        <v>22</v>
      </c>
      <c r="M102" t="s">
        <v>23</v>
      </c>
      <c r="N102">
        <v>77040</v>
      </c>
      <c r="O102" t="s">
        <v>903</v>
      </c>
      <c r="P102" t="s">
        <v>904</v>
      </c>
      <c r="Q102" t="s">
        <v>905</v>
      </c>
    </row>
    <row r="103" spans="1:17" x14ac:dyDescent="0.25">
      <c r="A103" s="3" t="str">
        <f t="shared" si="1"/>
        <v xml:space="preserve">350-Design Electric </v>
      </c>
      <c r="B103" s="3">
        <v>350</v>
      </c>
      <c r="C103" s="3" t="s">
        <v>906</v>
      </c>
      <c r="D103" s="3" t="s">
        <v>907</v>
      </c>
      <c r="E103" s="3"/>
      <c r="F103" s="3"/>
      <c r="G103" s="3" t="s">
        <v>908</v>
      </c>
      <c r="H103" s="3" t="s">
        <v>901</v>
      </c>
      <c r="I103" s="3" t="s">
        <v>909</v>
      </c>
      <c r="J103" s="3" t="s">
        <v>910</v>
      </c>
      <c r="L103" t="s">
        <v>22</v>
      </c>
      <c r="M103" t="s">
        <v>23</v>
      </c>
      <c r="N103">
        <v>77040</v>
      </c>
      <c r="O103" t="s">
        <v>911</v>
      </c>
      <c r="P103" t="s">
        <v>912</v>
      </c>
      <c r="Q103" t="s">
        <v>913</v>
      </c>
    </row>
    <row r="104" spans="1:17" x14ac:dyDescent="0.25">
      <c r="A104" s="3" t="str">
        <f t="shared" si="1"/>
        <v>400-DI Hotels Corp</v>
      </c>
      <c r="B104" s="3">
        <v>400</v>
      </c>
      <c r="C104" s="3" t="s">
        <v>914</v>
      </c>
      <c r="D104" s="3" t="s">
        <v>915</v>
      </c>
      <c r="E104" s="3"/>
      <c r="F104" s="3"/>
      <c r="G104" s="3" t="s">
        <v>916</v>
      </c>
      <c r="H104" s="3" t="s">
        <v>917</v>
      </c>
      <c r="I104" s="3" t="s">
        <v>918</v>
      </c>
      <c r="J104" s="3" t="s">
        <v>919</v>
      </c>
      <c r="L104" t="s">
        <v>920</v>
      </c>
      <c r="M104" t="s">
        <v>921</v>
      </c>
      <c r="N104">
        <v>63701</v>
      </c>
      <c r="O104" t="s">
        <v>922</v>
      </c>
      <c r="Q104" t="s">
        <v>923</v>
      </c>
    </row>
    <row r="105" spans="1:17" x14ac:dyDescent="0.25">
      <c r="A105" s="3" t="str">
        <f t="shared" si="1"/>
        <v>604-Dialight Corporation</v>
      </c>
      <c r="B105" s="3">
        <v>604</v>
      </c>
      <c r="C105" s="3" t="s">
        <v>924</v>
      </c>
      <c r="D105" s="3" t="s">
        <v>925</v>
      </c>
      <c r="E105" s="3"/>
      <c r="F105" s="3" t="s">
        <v>926</v>
      </c>
      <c r="G105" s="3" t="s">
        <v>18</v>
      </c>
      <c r="H105" s="3" t="s">
        <v>927</v>
      </c>
      <c r="I105" s="3" t="s">
        <v>928</v>
      </c>
      <c r="J105" s="3" t="s">
        <v>929</v>
      </c>
      <c r="L105" t="s">
        <v>930</v>
      </c>
      <c r="M105" t="s">
        <v>648</v>
      </c>
      <c r="N105">
        <v>7727</v>
      </c>
      <c r="O105">
        <v>7327515891</v>
      </c>
      <c r="Q105" t="s">
        <v>931</v>
      </c>
    </row>
    <row r="106" spans="1:17" x14ac:dyDescent="0.25">
      <c r="A106" s="3" t="str">
        <f t="shared" si="1"/>
        <v>261-Diversified Lighting Technology</v>
      </c>
      <c r="B106" s="3">
        <v>261</v>
      </c>
      <c r="C106" s="3" t="s">
        <v>932</v>
      </c>
      <c r="D106" s="3" t="s">
        <v>933</v>
      </c>
      <c r="E106" s="3"/>
      <c r="F106" s="3"/>
      <c r="G106" s="3" t="s">
        <v>934</v>
      </c>
      <c r="H106" s="3" t="s">
        <v>935</v>
      </c>
      <c r="I106" s="3" t="s">
        <v>436</v>
      </c>
      <c r="J106" s="3" t="s">
        <v>936</v>
      </c>
      <c r="L106" t="s">
        <v>22</v>
      </c>
      <c r="M106" t="s">
        <v>23</v>
      </c>
      <c r="N106">
        <v>77041</v>
      </c>
      <c r="O106" t="s">
        <v>937</v>
      </c>
      <c r="Q106" t="s">
        <v>938</v>
      </c>
    </row>
    <row r="107" spans="1:17" x14ac:dyDescent="0.25">
      <c r="A107" s="3" t="str">
        <f t="shared" si="1"/>
        <v>421-Divine Lighting</v>
      </c>
      <c r="B107" s="3">
        <v>421</v>
      </c>
      <c r="C107" s="3" t="s">
        <v>939</v>
      </c>
      <c r="D107" s="3" t="s">
        <v>940</v>
      </c>
      <c r="E107" s="3"/>
      <c r="F107" s="3"/>
      <c r="G107" s="3" t="s">
        <v>941</v>
      </c>
      <c r="H107" s="3" t="s">
        <v>942</v>
      </c>
      <c r="I107" s="3" t="s">
        <v>436</v>
      </c>
      <c r="J107" s="3" t="s">
        <v>943</v>
      </c>
      <c r="L107" t="s">
        <v>724</v>
      </c>
      <c r="M107" t="s">
        <v>23</v>
      </c>
      <c r="N107">
        <v>77303</v>
      </c>
      <c r="O107" t="s">
        <v>944</v>
      </c>
      <c r="Q107" t="s">
        <v>945</v>
      </c>
    </row>
    <row r="108" spans="1:17" x14ac:dyDescent="0.25">
      <c r="A108" s="3" t="str">
        <f t="shared" si="1"/>
        <v>430-DP Electronics</v>
      </c>
      <c r="B108" s="3">
        <v>430</v>
      </c>
      <c r="C108" s="3" t="s">
        <v>946</v>
      </c>
      <c r="D108" s="3" t="s">
        <v>947</v>
      </c>
      <c r="E108" s="3"/>
      <c r="F108" s="3"/>
      <c r="G108" s="3" t="s">
        <v>948</v>
      </c>
      <c r="H108" s="3" t="s">
        <v>949</v>
      </c>
      <c r="I108" s="3" t="s">
        <v>436</v>
      </c>
      <c r="J108" s="3" t="s">
        <v>950</v>
      </c>
      <c r="L108" t="s">
        <v>22</v>
      </c>
      <c r="M108" t="s">
        <v>23</v>
      </c>
      <c r="N108">
        <v>77047</v>
      </c>
      <c r="O108" t="s">
        <v>951</v>
      </c>
      <c r="Q108" t="s">
        <v>952</v>
      </c>
    </row>
    <row r="109" spans="1:17" x14ac:dyDescent="0.25">
      <c r="A109" s="3" t="str">
        <f t="shared" si="1"/>
        <v>590-Drury Southwest, Inc.</v>
      </c>
      <c r="B109" s="3">
        <v>590</v>
      </c>
      <c r="C109" s="3" t="s">
        <v>953</v>
      </c>
      <c r="D109" s="3" t="s">
        <v>954</v>
      </c>
      <c r="E109" s="3"/>
      <c r="F109" s="3"/>
      <c r="G109" s="3" t="s">
        <v>916</v>
      </c>
      <c r="H109" s="3" t="s">
        <v>917</v>
      </c>
      <c r="I109" s="3" t="s">
        <v>918</v>
      </c>
      <c r="J109" s="3" t="s">
        <v>919</v>
      </c>
      <c r="L109" t="s">
        <v>920</v>
      </c>
      <c r="M109" t="s">
        <v>921</v>
      </c>
      <c r="N109">
        <v>63701</v>
      </c>
      <c r="O109" t="s">
        <v>922</v>
      </c>
      <c r="Q109" t="s">
        <v>923</v>
      </c>
    </row>
    <row r="110" spans="1:17" x14ac:dyDescent="0.25">
      <c r="A110" s="3" t="str">
        <f t="shared" si="1"/>
        <v>358-Dynamic Orthotics and Prosthetics</v>
      </c>
      <c r="B110" s="3">
        <v>358</v>
      </c>
      <c r="C110" s="3" t="s">
        <v>955</v>
      </c>
      <c r="D110" s="3" t="s">
        <v>956</v>
      </c>
      <c r="E110" s="3"/>
      <c r="F110" s="3"/>
      <c r="G110" s="3" t="s">
        <v>957</v>
      </c>
      <c r="H110" s="3" t="s">
        <v>958</v>
      </c>
      <c r="I110" s="3" t="s">
        <v>959</v>
      </c>
      <c r="J110" s="3" t="s">
        <v>960</v>
      </c>
      <c r="L110" t="s">
        <v>22</v>
      </c>
      <c r="M110" t="s">
        <v>23</v>
      </c>
      <c r="N110">
        <v>77025</v>
      </c>
      <c r="O110" t="s">
        <v>961</v>
      </c>
      <c r="Q110" t="s">
        <v>962</v>
      </c>
    </row>
    <row r="111" spans="1:17" x14ac:dyDescent="0.25">
      <c r="A111" s="3" t="str">
        <f t="shared" si="1"/>
        <v>560-Dynamic Voice Data</v>
      </c>
      <c r="B111" s="3">
        <v>560</v>
      </c>
      <c r="C111" s="3" t="s">
        <v>963</v>
      </c>
      <c r="D111" s="3" t="s">
        <v>964</v>
      </c>
      <c r="E111" s="3"/>
      <c r="F111" s="3"/>
      <c r="G111" s="3" t="s">
        <v>965</v>
      </c>
      <c r="H111" s="3" t="s">
        <v>966</v>
      </c>
      <c r="I111" s="3" t="s">
        <v>967</v>
      </c>
      <c r="J111" s="3" t="s">
        <v>968</v>
      </c>
      <c r="L111" t="s">
        <v>392</v>
      </c>
      <c r="M111" t="s">
        <v>23</v>
      </c>
      <c r="N111">
        <v>77477</v>
      </c>
      <c r="O111" t="s">
        <v>969</v>
      </c>
      <c r="P111" t="s">
        <v>970</v>
      </c>
      <c r="Q111" t="s">
        <v>971</v>
      </c>
    </row>
    <row r="112" spans="1:17" x14ac:dyDescent="0.25">
      <c r="A112" s="3" t="str">
        <f t="shared" si="1"/>
        <v>262-E. Sam Jones Distributor, Inc.</v>
      </c>
      <c r="B112" s="3">
        <v>262</v>
      </c>
      <c r="C112" s="3" t="s">
        <v>972</v>
      </c>
      <c r="D112" s="3" t="s">
        <v>973</v>
      </c>
      <c r="E112" s="3"/>
      <c r="F112" s="3"/>
      <c r="G112" s="3" t="s">
        <v>193</v>
      </c>
      <c r="H112" s="3" t="s">
        <v>974</v>
      </c>
      <c r="I112" s="3" t="s">
        <v>975</v>
      </c>
      <c r="J112" s="3" t="s">
        <v>976</v>
      </c>
      <c r="L112" t="s">
        <v>22</v>
      </c>
      <c r="M112" t="s">
        <v>23</v>
      </c>
      <c r="N112">
        <v>77018</v>
      </c>
      <c r="O112" t="s">
        <v>977</v>
      </c>
      <c r="P112" t="s">
        <v>978</v>
      </c>
      <c r="Q112" t="s">
        <v>979</v>
      </c>
    </row>
    <row r="113" spans="1:17" x14ac:dyDescent="0.25">
      <c r="A113" s="3" t="str">
        <f t="shared" si="1"/>
        <v>217-E/B/E, Inc.</v>
      </c>
      <c r="B113" s="3">
        <v>217</v>
      </c>
      <c r="C113" s="3" t="s">
        <v>980</v>
      </c>
      <c r="D113" s="3" t="s">
        <v>981</v>
      </c>
      <c r="E113" s="3"/>
      <c r="F113" s="3"/>
      <c r="G113" s="3" t="s">
        <v>982</v>
      </c>
      <c r="H113" s="3" t="s">
        <v>983</v>
      </c>
      <c r="I113" s="3" t="s">
        <v>436</v>
      </c>
      <c r="J113" s="3" t="s">
        <v>984</v>
      </c>
      <c r="L113" t="s">
        <v>22</v>
      </c>
      <c r="M113" t="s">
        <v>23</v>
      </c>
      <c r="N113">
        <v>77046</v>
      </c>
      <c r="O113" t="s">
        <v>985</v>
      </c>
      <c r="P113" t="s">
        <v>986</v>
      </c>
      <c r="Q113" t="s">
        <v>987</v>
      </c>
    </row>
    <row r="114" spans="1:17" x14ac:dyDescent="0.25">
      <c r="A114" s="3" t="str">
        <f t="shared" si="1"/>
        <v>578-Earth Savers Energy Services, Inc.</v>
      </c>
      <c r="B114" s="3">
        <v>578</v>
      </c>
      <c r="C114" s="3" t="s">
        <v>988</v>
      </c>
      <c r="D114" s="3" t="s">
        <v>989</v>
      </c>
      <c r="E114" s="3"/>
      <c r="F114" s="3"/>
      <c r="G114" s="3" t="s">
        <v>990</v>
      </c>
      <c r="H114" s="3" t="s">
        <v>991</v>
      </c>
      <c r="I114" s="3" t="s">
        <v>436</v>
      </c>
      <c r="J114" s="3" t="s">
        <v>992</v>
      </c>
      <c r="L114" t="s">
        <v>993</v>
      </c>
      <c r="M114" t="s">
        <v>787</v>
      </c>
      <c r="N114">
        <v>85749</v>
      </c>
      <c r="O114">
        <v>5209909005</v>
      </c>
      <c r="Q114" t="s">
        <v>994</v>
      </c>
    </row>
    <row r="115" spans="1:17" x14ac:dyDescent="0.25">
      <c r="A115" s="3" t="str">
        <f t="shared" si="1"/>
        <v>317-Eco Engineering, LLC</v>
      </c>
      <c r="B115" s="3">
        <v>317</v>
      </c>
      <c r="C115" s="3" t="s">
        <v>995</v>
      </c>
      <c r="D115" s="3" t="s">
        <v>996</v>
      </c>
      <c r="E115" s="3"/>
      <c r="F115" s="3"/>
      <c r="G115" s="3" t="s">
        <v>997</v>
      </c>
      <c r="H115" s="3" t="s">
        <v>998</v>
      </c>
      <c r="I115" s="3" t="s">
        <v>999</v>
      </c>
      <c r="J115" s="3" t="s">
        <v>1000</v>
      </c>
      <c r="L115" t="s">
        <v>1001</v>
      </c>
      <c r="M115" t="s">
        <v>1002</v>
      </c>
      <c r="N115">
        <v>45241</v>
      </c>
      <c r="O115" t="s">
        <v>1003</v>
      </c>
      <c r="P115" t="s">
        <v>1004</v>
      </c>
      <c r="Q115" t="s">
        <v>1005</v>
      </c>
    </row>
    <row r="116" spans="1:17" x14ac:dyDescent="0.25">
      <c r="A116" s="3" t="str">
        <f t="shared" si="1"/>
        <v>418-Eco Lighting Solutions</v>
      </c>
      <c r="B116" s="3">
        <v>418</v>
      </c>
      <c r="C116" s="3" t="s">
        <v>1006</v>
      </c>
      <c r="D116" s="3" t="s">
        <v>1007</v>
      </c>
      <c r="E116" s="3" t="s">
        <v>1008</v>
      </c>
      <c r="F116" s="3" t="s">
        <v>1006</v>
      </c>
      <c r="G116" s="3" t="s">
        <v>1009</v>
      </c>
      <c r="H116" s="3" t="s">
        <v>1010</v>
      </c>
      <c r="I116" s="3" t="s">
        <v>1011</v>
      </c>
      <c r="J116" s="3" t="s">
        <v>1012</v>
      </c>
      <c r="L116" t="s">
        <v>1013</v>
      </c>
      <c r="M116" t="s">
        <v>1014</v>
      </c>
      <c r="N116">
        <v>46038</v>
      </c>
      <c r="O116" t="s">
        <v>1015</v>
      </c>
      <c r="P116" t="s">
        <v>1016</v>
      </c>
      <c r="Q116" t="s">
        <v>1017</v>
      </c>
    </row>
    <row r="117" spans="1:17" x14ac:dyDescent="0.25">
      <c r="A117" s="3" t="str">
        <f t="shared" si="1"/>
        <v xml:space="preserve">614-Ecova Inc </v>
      </c>
      <c r="B117" s="3">
        <v>614</v>
      </c>
      <c r="C117" s="3" t="s">
        <v>1018</v>
      </c>
      <c r="D117" s="3" t="s">
        <v>1019</v>
      </c>
      <c r="E117" s="3"/>
      <c r="F117" s="3"/>
      <c r="G117" s="3" t="s">
        <v>1020</v>
      </c>
      <c r="H117" s="3" t="s">
        <v>892</v>
      </c>
      <c r="I117" s="3" t="s">
        <v>1021</v>
      </c>
      <c r="J117" s="3" t="s">
        <v>1022</v>
      </c>
      <c r="L117" t="s">
        <v>1023</v>
      </c>
      <c r="M117" t="s">
        <v>853</v>
      </c>
      <c r="N117">
        <v>99210</v>
      </c>
      <c r="O117" t="s">
        <v>1024</v>
      </c>
      <c r="P117" t="s">
        <v>1025</v>
      </c>
      <c r="Q117" t="s">
        <v>1026</v>
      </c>
    </row>
    <row r="118" spans="1:17" x14ac:dyDescent="0.25">
      <c r="A118" s="3" t="str">
        <f t="shared" si="1"/>
        <v>645-EES Central</v>
      </c>
      <c r="B118">
        <v>645</v>
      </c>
      <c r="D118" t="s">
        <v>1027</v>
      </c>
      <c r="G118" t="s">
        <v>1028</v>
      </c>
      <c r="H118" t="s">
        <v>1029</v>
      </c>
      <c r="J118" t="s">
        <v>1030</v>
      </c>
      <c r="L118" t="s">
        <v>22</v>
      </c>
      <c r="M118" t="s">
        <v>23</v>
      </c>
      <c r="N118" s="4" t="s">
        <v>1031</v>
      </c>
      <c r="O118" t="s">
        <v>1032</v>
      </c>
      <c r="Q118" t="s">
        <v>1033</v>
      </c>
    </row>
    <row r="119" spans="1:17" x14ac:dyDescent="0.25">
      <c r="A119" s="3" t="str">
        <f t="shared" si="1"/>
        <v>253-Efficiency Energy Services</v>
      </c>
      <c r="B119" s="3">
        <v>253</v>
      </c>
      <c r="C119" s="3" t="s">
        <v>1034</v>
      </c>
      <c r="D119" s="3" t="s">
        <v>1035</v>
      </c>
      <c r="E119" s="3" t="s">
        <v>1036</v>
      </c>
      <c r="F119" s="3" t="s">
        <v>1034</v>
      </c>
      <c r="G119" s="3" t="s">
        <v>738</v>
      </c>
      <c r="H119" s="3" t="s">
        <v>1037</v>
      </c>
      <c r="I119" s="3" t="s">
        <v>1038</v>
      </c>
      <c r="J119" s="3" t="s">
        <v>1039</v>
      </c>
      <c r="L119" t="s">
        <v>1040</v>
      </c>
      <c r="M119" t="s">
        <v>23</v>
      </c>
      <c r="N119" t="s">
        <v>1041</v>
      </c>
      <c r="O119" t="s">
        <v>1042</v>
      </c>
      <c r="P119" t="s">
        <v>1042</v>
      </c>
      <c r="Q119" t="s">
        <v>1043</v>
      </c>
    </row>
    <row r="120" spans="1:17" x14ac:dyDescent="0.25">
      <c r="A120" s="3" t="str">
        <f t="shared" si="1"/>
        <v xml:space="preserve">494-Efficient Energy America Inc </v>
      </c>
      <c r="B120" s="3">
        <v>494</v>
      </c>
      <c r="C120" s="3" t="s">
        <v>1044</v>
      </c>
      <c r="D120" s="3" t="s">
        <v>1045</v>
      </c>
      <c r="E120" s="3"/>
      <c r="F120" s="3"/>
      <c r="G120" s="3" t="s">
        <v>1046</v>
      </c>
      <c r="H120" s="3" t="s">
        <v>1047</v>
      </c>
      <c r="I120" s="3" t="s">
        <v>1048</v>
      </c>
      <c r="J120" s="3" t="s">
        <v>1049</v>
      </c>
      <c r="L120" t="s">
        <v>1050</v>
      </c>
      <c r="M120" t="s">
        <v>1051</v>
      </c>
      <c r="N120">
        <v>28428</v>
      </c>
      <c r="O120" t="s">
        <v>1052</v>
      </c>
      <c r="Q120" t="s">
        <v>1053</v>
      </c>
    </row>
    <row r="121" spans="1:17" x14ac:dyDescent="0.25">
      <c r="A121" s="3" t="str">
        <f t="shared" si="1"/>
        <v>381-Efficient Lighting Consultants</v>
      </c>
      <c r="B121" s="3">
        <v>381</v>
      </c>
      <c r="C121" s="3" t="s">
        <v>1054</v>
      </c>
      <c r="D121" s="3" t="s">
        <v>1055</v>
      </c>
      <c r="E121" s="3"/>
      <c r="F121" s="3"/>
      <c r="G121" s="3" t="s">
        <v>1056</v>
      </c>
      <c r="H121" s="3" t="s">
        <v>1057</v>
      </c>
      <c r="I121" s="3" t="s">
        <v>1058</v>
      </c>
      <c r="J121" s="3" t="s">
        <v>1059</v>
      </c>
      <c r="L121" t="s">
        <v>1060</v>
      </c>
      <c r="M121" t="s">
        <v>828</v>
      </c>
      <c r="N121">
        <v>6470</v>
      </c>
      <c r="O121" t="s">
        <v>1061</v>
      </c>
      <c r="P121" t="s">
        <v>1062</v>
      </c>
      <c r="Q121" t="s">
        <v>1063</v>
      </c>
    </row>
    <row r="122" spans="1:17" x14ac:dyDescent="0.25">
      <c r="A122" s="3" t="str">
        <f t="shared" si="1"/>
        <v>342-Efficient Lighting Masters, Inc.</v>
      </c>
      <c r="B122" s="3">
        <v>342</v>
      </c>
      <c r="C122" s="3" t="s">
        <v>1064</v>
      </c>
      <c r="D122" s="3" t="s">
        <v>1065</v>
      </c>
      <c r="E122" s="3" t="s">
        <v>1066</v>
      </c>
      <c r="F122" s="3" t="s">
        <v>1064</v>
      </c>
      <c r="G122" s="3" t="s">
        <v>349</v>
      </c>
      <c r="H122" s="3" t="s">
        <v>1067</v>
      </c>
      <c r="I122" s="3" t="s">
        <v>436</v>
      </c>
      <c r="J122" s="3" t="s">
        <v>1068</v>
      </c>
      <c r="L122" t="s">
        <v>1069</v>
      </c>
      <c r="M122" t="s">
        <v>155</v>
      </c>
      <c r="N122">
        <v>92887</v>
      </c>
      <c r="O122" t="s">
        <v>1070</v>
      </c>
      <c r="P122" t="s">
        <v>1071</v>
      </c>
      <c r="Q122" t="s">
        <v>1072</v>
      </c>
    </row>
    <row r="123" spans="1:17" x14ac:dyDescent="0.25">
      <c r="A123" s="3" t="str">
        <f t="shared" si="1"/>
        <v>368-Eisenbach Consulting, LLC</v>
      </c>
      <c r="B123" s="3">
        <v>368</v>
      </c>
      <c r="C123" s="3" t="s">
        <v>1073</v>
      </c>
      <c r="D123" s="3" t="s">
        <v>1074</v>
      </c>
      <c r="E123" s="3"/>
      <c r="F123" s="3"/>
      <c r="G123" s="3" t="s">
        <v>1075</v>
      </c>
      <c r="H123" s="3" t="s">
        <v>1076</v>
      </c>
      <c r="I123" s="3" t="s">
        <v>1077</v>
      </c>
      <c r="J123" s="3" t="s">
        <v>1078</v>
      </c>
      <c r="L123" t="s">
        <v>1079</v>
      </c>
      <c r="M123" t="s">
        <v>23</v>
      </c>
      <c r="N123">
        <v>75703</v>
      </c>
      <c r="O123" t="s">
        <v>1080</v>
      </c>
      <c r="Q123" t="s">
        <v>1081</v>
      </c>
    </row>
    <row r="124" spans="1:17" x14ac:dyDescent="0.25">
      <c r="A124" s="3" t="str">
        <f t="shared" si="1"/>
        <v>369-Eisenbach Consulting, LLC</v>
      </c>
      <c r="B124" s="3">
        <v>369</v>
      </c>
      <c r="C124" s="3" t="s">
        <v>1073</v>
      </c>
      <c r="D124" s="3" t="s">
        <v>1074</v>
      </c>
      <c r="E124" s="3"/>
      <c r="F124" s="3"/>
      <c r="G124" s="3" t="s">
        <v>1075</v>
      </c>
      <c r="H124" s="3" t="s">
        <v>1076</v>
      </c>
      <c r="I124" s="3" t="s">
        <v>1077</v>
      </c>
      <c r="J124" s="3" t="s">
        <v>1078</v>
      </c>
      <c r="L124" t="s">
        <v>1079</v>
      </c>
      <c r="M124" t="s">
        <v>23</v>
      </c>
      <c r="N124">
        <v>75703</v>
      </c>
      <c r="O124" t="s">
        <v>1080</v>
      </c>
      <c r="Q124" t="s">
        <v>1081</v>
      </c>
    </row>
    <row r="125" spans="1:17" x14ac:dyDescent="0.25">
      <c r="A125" s="3" t="str">
        <f t="shared" si="1"/>
        <v>622-Electric Works</v>
      </c>
      <c r="B125" s="3">
        <v>622</v>
      </c>
      <c r="C125" s="3" t="s">
        <v>1082</v>
      </c>
      <c r="D125" s="3" t="s">
        <v>1083</v>
      </c>
      <c r="E125" s="3"/>
      <c r="F125" s="3"/>
      <c r="G125" s="3" t="s">
        <v>1084</v>
      </c>
      <c r="H125" s="3" t="s">
        <v>1085</v>
      </c>
      <c r="I125" s="3" t="s">
        <v>78</v>
      </c>
      <c r="J125" s="3" t="s">
        <v>1086</v>
      </c>
      <c r="L125" t="s">
        <v>22</v>
      </c>
      <c r="M125" t="s">
        <v>23</v>
      </c>
      <c r="N125">
        <v>77045</v>
      </c>
      <c r="O125" t="s">
        <v>1087</v>
      </c>
      <c r="Q125" t="s">
        <v>1088</v>
      </c>
    </row>
    <row r="126" spans="1:17" x14ac:dyDescent="0.25">
      <c r="A126" s="3" t="str">
        <f t="shared" si="1"/>
        <v>570-EMO Energy Solutions, LLC</v>
      </c>
      <c r="B126" s="3">
        <v>570</v>
      </c>
      <c r="C126" s="3" t="s">
        <v>1089</v>
      </c>
      <c r="D126" s="3" t="s">
        <v>1090</v>
      </c>
      <c r="E126" s="3"/>
      <c r="F126" s="3"/>
      <c r="G126" s="3" t="s">
        <v>349</v>
      </c>
      <c r="H126" s="3" t="s">
        <v>1091</v>
      </c>
      <c r="I126" s="3" t="s">
        <v>1092</v>
      </c>
      <c r="J126" s="3" t="s">
        <v>1093</v>
      </c>
      <c r="K126" t="s">
        <v>1094</v>
      </c>
      <c r="L126" t="s">
        <v>1095</v>
      </c>
      <c r="M126" t="s">
        <v>688</v>
      </c>
      <c r="N126">
        <v>22042</v>
      </c>
      <c r="O126" t="s">
        <v>1096</v>
      </c>
      <c r="P126" t="s">
        <v>1097</v>
      </c>
      <c r="Q126" t="s">
        <v>1098</v>
      </c>
    </row>
    <row r="127" spans="1:17" x14ac:dyDescent="0.25">
      <c r="A127" s="3" t="str">
        <f t="shared" si="1"/>
        <v>246-Energy &amp; Lighting Innovations LLC</v>
      </c>
      <c r="B127" s="3">
        <v>246</v>
      </c>
      <c r="C127" s="3" t="s">
        <v>1099</v>
      </c>
      <c r="D127" s="3" t="s">
        <v>1100</v>
      </c>
      <c r="E127" s="3"/>
      <c r="F127" s="3"/>
      <c r="G127" s="3" t="s">
        <v>112</v>
      </c>
      <c r="H127" s="3" t="s">
        <v>1101</v>
      </c>
      <c r="I127" s="3" t="s">
        <v>436</v>
      </c>
      <c r="J127" s="3" t="s">
        <v>1102</v>
      </c>
      <c r="L127" t="s">
        <v>605</v>
      </c>
      <c r="M127" t="s">
        <v>23</v>
      </c>
      <c r="N127">
        <v>77386</v>
      </c>
      <c r="O127" t="s">
        <v>1103</v>
      </c>
      <c r="Q127" t="s">
        <v>1104</v>
      </c>
    </row>
    <row r="128" spans="1:17" x14ac:dyDescent="0.25">
      <c r="A128" s="3" t="str">
        <f t="shared" si="1"/>
        <v>480-Energy Conservation &amp; Supply Inc.</v>
      </c>
      <c r="B128" s="3">
        <v>480</v>
      </c>
      <c r="C128" s="3" t="s">
        <v>1105</v>
      </c>
      <c r="D128" s="3" t="s">
        <v>1106</v>
      </c>
      <c r="E128" s="3"/>
      <c r="F128" s="3"/>
      <c r="G128" s="3" t="s">
        <v>1107</v>
      </c>
      <c r="H128" s="3" t="s">
        <v>1108</v>
      </c>
      <c r="I128" s="3" t="s">
        <v>185</v>
      </c>
      <c r="J128" s="3" t="s">
        <v>1109</v>
      </c>
      <c r="K128" t="s">
        <v>1110</v>
      </c>
      <c r="L128" t="s">
        <v>1111</v>
      </c>
      <c r="M128" t="s">
        <v>448</v>
      </c>
      <c r="N128">
        <v>11201</v>
      </c>
      <c r="O128" t="s">
        <v>1112</v>
      </c>
      <c r="P128" t="s">
        <v>1113</v>
      </c>
      <c r="Q128" t="s">
        <v>1114</v>
      </c>
    </row>
    <row r="129" spans="1:17" x14ac:dyDescent="0.25">
      <c r="A129" s="3" t="str">
        <f t="shared" si="1"/>
        <v>535-Energy Design Service Systems</v>
      </c>
      <c r="B129" s="3">
        <v>535</v>
      </c>
      <c r="C129" s="3" t="s">
        <v>1115</v>
      </c>
      <c r="D129" s="3" t="s">
        <v>1116</v>
      </c>
      <c r="E129" s="3"/>
      <c r="F129" s="3"/>
      <c r="G129" s="3" t="s">
        <v>1117</v>
      </c>
      <c r="H129" s="3" t="s">
        <v>480</v>
      </c>
      <c r="I129" s="3" t="s">
        <v>1118</v>
      </c>
      <c r="J129" s="3" t="s">
        <v>380</v>
      </c>
      <c r="L129" t="s">
        <v>381</v>
      </c>
      <c r="M129" t="s">
        <v>382</v>
      </c>
      <c r="N129">
        <v>48114</v>
      </c>
      <c r="O129" t="s">
        <v>383</v>
      </c>
      <c r="Q129" t="s">
        <v>483</v>
      </c>
    </row>
    <row r="130" spans="1:17" x14ac:dyDescent="0.25">
      <c r="A130" s="3" t="str">
        <f t="shared" ref="A130:A193" si="2">IF(B130="","",B130&amp;"-"&amp;D130)</f>
        <v>504-Energy Efficiency &amp; Sustainability</v>
      </c>
      <c r="B130" s="3">
        <v>504</v>
      </c>
      <c r="C130" s="3" t="s">
        <v>1119</v>
      </c>
      <c r="D130" s="3" t="s">
        <v>1120</v>
      </c>
      <c r="E130" s="3" t="s">
        <v>1121</v>
      </c>
      <c r="F130" s="3"/>
      <c r="G130" s="3" t="s">
        <v>1122</v>
      </c>
      <c r="H130" s="3" t="s">
        <v>1123</v>
      </c>
      <c r="I130" s="3" t="s">
        <v>68</v>
      </c>
      <c r="J130" s="3" t="s">
        <v>1124</v>
      </c>
      <c r="K130" t="s">
        <v>1125</v>
      </c>
      <c r="L130" t="s">
        <v>1126</v>
      </c>
      <c r="M130" t="s">
        <v>23</v>
      </c>
      <c r="N130">
        <v>77041</v>
      </c>
      <c r="O130" t="s">
        <v>1127</v>
      </c>
      <c r="P130" t="s">
        <v>1128</v>
      </c>
      <c r="Q130" t="s">
        <v>1129</v>
      </c>
    </row>
    <row r="131" spans="1:17" x14ac:dyDescent="0.25">
      <c r="A131" s="3" t="str">
        <f t="shared" si="2"/>
        <v>463-Energy Efficiency &amp; Sustainability Consulting</v>
      </c>
      <c r="B131" s="3">
        <v>463</v>
      </c>
      <c r="C131" s="3" t="s">
        <v>1130</v>
      </c>
      <c r="D131" s="3" t="s">
        <v>1131</v>
      </c>
      <c r="E131" s="3"/>
      <c r="F131" s="3"/>
      <c r="G131" s="3" t="s">
        <v>1132</v>
      </c>
      <c r="H131" s="3" t="s">
        <v>1133</v>
      </c>
      <c r="I131" s="3" t="s">
        <v>68</v>
      </c>
      <c r="J131" s="3" t="s">
        <v>1134</v>
      </c>
      <c r="L131" t="s">
        <v>22</v>
      </c>
      <c r="M131" t="s">
        <v>23</v>
      </c>
      <c r="N131">
        <v>77002</v>
      </c>
      <c r="O131" t="s">
        <v>1127</v>
      </c>
      <c r="P131" t="s">
        <v>1135</v>
      </c>
      <c r="Q131" t="s">
        <v>1136</v>
      </c>
    </row>
    <row r="132" spans="1:17" x14ac:dyDescent="0.25">
      <c r="A132" s="3" t="str">
        <f t="shared" si="2"/>
        <v>464-Energy Efficiency &amp; Sustainability Consulting</v>
      </c>
      <c r="B132" s="3">
        <v>464</v>
      </c>
      <c r="C132" s="3" t="s">
        <v>1130</v>
      </c>
      <c r="D132" s="3" t="s">
        <v>1131</v>
      </c>
      <c r="E132" s="3"/>
      <c r="F132" s="3"/>
      <c r="G132" s="3" t="s">
        <v>1137</v>
      </c>
      <c r="H132" s="3" t="s">
        <v>1138</v>
      </c>
      <c r="I132" s="3" t="s">
        <v>68</v>
      </c>
      <c r="J132" s="3" t="s">
        <v>1134</v>
      </c>
      <c r="L132" t="s">
        <v>22</v>
      </c>
      <c r="M132" t="s">
        <v>23</v>
      </c>
      <c r="N132">
        <v>77002</v>
      </c>
      <c r="O132" t="s">
        <v>1127</v>
      </c>
      <c r="P132" t="s">
        <v>1135</v>
      </c>
      <c r="Q132" t="s">
        <v>1139</v>
      </c>
    </row>
    <row r="133" spans="1:17" x14ac:dyDescent="0.25">
      <c r="A133" s="3" t="str">
        <f t="shared" si="2"/>
        <v>240-Energy Engineering Associates, Inc.</v>
      </c>
      <c r="B133" s="3">
        <v>240</v>
      </c>
      <c r="C133" s="3" t="s">
        <v>1140</v>
      </c>
      <c r="D133" s="3" t="s">
        <v>1141</v>
      </c>
      <c r="E133" s="3"/>
      <c r="F133" s="3"/>
      <c r="G133" s="3" t="s">
        <v>1142</v>
      </c>
      <c r="H133" s="3" t="s">
        <v>1143</v>
      </c>
      <c r="I133" s="3" t="s">
        <v>1144</v>
      </c>
      <c r="J133" s="3" t="s">
        <v>1145</v>
      </c>
      <c r="L133" t="s">
        <v>165</v>
      </c>
      <c r="M133" t="s">
        <v>23</v>
      </c>
      <c r="N133">
        <v>78730</v>
      </c>
      <c r="O133" t="s">
        <v>1146</v>
      </c>
      <c r="P133" t="s">
        <v>1147</v>
      </c>
      <c r="Q133" t="s">
        <v>1148</v>
      </c>
    </row>
    <row r="134" spans="1:17" x14ac:dyDescent="0.25">
      <c r="A134" s="3" t="str">
        <f t="shared" si="2"/>
        <v>303-Energy Logic / Circuit City Stores, Inc.</v>
      </c>
      <c r="B134" s="3">
        <v>303</v>
      </c>
      <c r="C134" s="3" t="s">
        <v>1149</v>
      </c>
      <c r="D134" s="3" t="s">
        <v>1150</v>
      </c>
      <c r="E134" s="3"/>
      <c r="F134" s="3"/>
      <c r="G134" s="3" t="s">
        <v>1151</v>
      </c>
      <c r="H134" s="3" t="s">
        <v>1152</v>
      </c>
      <c r="I134" s="3" t="s">
        <v>1153</v>
      </c>
      <c r="J134" s="3" t="s">
        <v>1154</v>
      </c>
      <c r="L134" t="s">
        <v>1155</v>
      </c>
      <c r="M134" t="s">
        <v>327</v>
      </c>
      <c r="N134">
        <v>2639</v>
      </c>
      <c r="O134" t="s">
        <v>1156</v>
      </c>
      <c r="P134" t="s">
        <v>1157</v>
      </c>
      <c r="Q134" t="s">
        <v>1158</v>
      </c>
    </row>
    <row r="135" spans="1:17" x14ac:dyDescent="0.25">
      <c r="A135" s="3" t="str">
        <f t="shared" si="2"/>
        <v>304-Energy Logic / Staples, Inc.</v>
      </c>
      <c r="B135" s="3">
        <v>304</v>
      </c>
      <c r="C135" s="3" t="s">
        <v>1159</v>
      </c>
      <c r="D135" s="3" t="s">
        <v>1160</v>
      </c>
      <c r="E135" s="3"/>
      <c r="F135" s="3"/>
      <c r="G135" s="3" t="s">
        <v>1161</v>
      </c>
      <c r="H135" s="3" t="s">
        <v>1152</v>
      </c>
      <c r="I135" s="3" t="s">
        <v>1153</v>
      </c>
      <c r="J135" s="3" t="s">
        <v>1154</v>
      </c>
      <c r="L135" t="s">
        <v>1155</v>
      </c>
      <c r="M135" t="s">
        <v>327</v>
      </c>
      <c r="N135">
        <v>2639</v>
      </c>
      <c r="O135" t="s">
        <v>1156</v>
      </c>
      <c r="P135" t="s">
        <v>1157</v>
      </c>
      <c r="Q135" t="s">
        <v>1158</v>
      </c>
    </row>
    <row r="136" spans="1:17" x14ac:dyDescent="0.25">
      <c r="A136" s="3" t="str">
        <f t="shared" si="2"/>
        <v>512-Energy Management Collaborative, llc</v>
      </c>
      <c r="B136" s="3">
        <v>512</v>
      </c>
      <c r="C136" s="3" t="s">
        <v>1162</v>
      </c>
      <c r="D136" s="3" t="s">
        <v>1163</v>
      </c>
      <c r="E136" s="3"/>
      <c r="F136" s="3"/>
      <c r="G136" s="3" t="s">
        <v>1164</v>
      </c>
      <c r="H136" s="3" t="s">
        <v>1165</v>
      </c>
      <c r="I136" s="3" t="s">
        <v>1166</v>
      </c>
      <c r="J136" s="3" t="s">
        <v>1167</v>
      </c>
      <c r="L136" t="s">
        <v>1168</v>
      </c>
      <c r="M136" t="s">
        <v>623</v>
      </c>
      <c r="N136">
        <v>55446</v>
      </c>
      <c r="O136" t="s">
        <v>1169</v>
      </c>
      <c r="P136" t="s">
        <v>1170</v>
      </c>
      <c r="Q136" t="s">
        <v>1171</v>
      </c>
    </row>
    <row r="137" spans="1:17" x14ac:dyDescent="0.25">
      <c r="A137" s="3" t="str">
        <f t="shared" si="2"/>
        <v>356-Energy Mangement Systems</v>
      </c>
      <c r="B137" s="3">
        <v>356</v>
      </c>
      <c r="C137" s="3" t="s">
        <v>1172</v>
      </c>
      <c r="D137" s="3" t="s">
        <v>1173</v>
      </c>
      <c r="E137" s="3"/>
      <c r="F137" s="3"/>
      <c r="G137" s="3" t="s">
        <v>1174</v>
      </c>
      <c r="H137" s="3" t="s">
        <v>1175</v>
      </c>
      <c r="I137" s="3" t="s">
        <v>1176</v>
      </c>
      <c r="J137" s="3" t="s">
        <v>1177</v>
      </c>
      <c r="K137" t="s">
        <v>1178</v>
      </c>
      <c r="L137" t="s">
        <v>1179</v>
      </c>
      <c r="M137" t="s">
        <v>1014</v>
      </c>
      <c r="N137">
        <v>46240</v>
      </c>
      <c r="O137" t="s">
        <v>1180</v>
      </c>
      <c r="P137" t="s">
        <v>1181</v>
      </c>
      <c r="Q137" t="s">
        <v>1182</v>
      </c>
    </row>
    <row r="138" spans="1:17" x14ac:dyDescent="0.25">
      <c r="A138" s="3" t="str">
        <f t="shared" si="2"/>
        <v>310-Energy Partners Alliance</v>
      </c>
      <c r="B138" s="3">
        <v>310</v>
      </c>
      <c r="C138" s="3" t="s">
        <v>1183</v>
      </c>
      <c r="D138" s="3" t="s">
        <v>1184</v>
      </c>
      <c r="E138" s="3"/>
      <c r="F138" s="3"/>
      <c r="G138" s="3" t="s">
        <v>1056</v>
      </c>
      <c r="H138" s="3" t="s">
        <v>1185</v>
      </c>
      <c r="I138" s="3" t="s">
        <v>1186</v>
      </c>
      <c r="J138" s="3" t="s">
        <v>1187</v>
      </c>
      <c r="L138" t="s">
        <v>439</v>
      </c>
      <c r="M138" t="s">
        <v>23</v>
      </c>
      <c r="N138" t="s">
        <v>1188</v>
      </c>
      <c r="O138" t="s">
        <v>1189</v>
      </c>
      <c r="Q138" t="s">
        <v>1190</v>
      </c>
    </row>
    <row r="139" spans="1:17" x14ac:dyDescent="0.25">
      <c r="A139" s="3" t="str">
        <f t="shared" si="2"/>
        <v>360-Energy Partners Alliance, LLC</v>
      </c>
      <c r="B139" s="3">
        <v>360</v>
      </c>
      <c r="C139" s="3" t="s">
        <v>1191</v>
      </c>
      <c r="D139" s="3" t="s">
        <v>1192</v>
      </c>
      <c r="E139" s="3"/>
      <c r="F139" s="3"/>
      <c r="G139" s="3" t="s">
        <v>1056</v>
      </c>
      <c r="H139" s="3" t="s">
        <v>1185</v>
      </c>
      <c r="I139" s="3" t="s">
        <v>1193</v>
      </c>
      <c r="J139" s="3" t="s">
        <v>1194</v>
      </c>
      <c r="K139" t="s">
        <v>1195</v>
      </c>
      <c r="L139" t="s">
        <v>439</v>
      </c>
      <c r="M139" t="s">
        <v>23</v>
      </c>
      <c r="N139">
        <v>75244</v>
      </c>
      <c r="O139" t="s">
        <v>1189</v>
      </c>
      <c r="P139" t="s">
        <v>1196</v>
      </c>
      <c r="Q139" t="s">
        <v>1190</v>
      </c>
    </row>
    <row r="140" spans="1:17" x14ac:dyDescent="0.25">
      <c r="A140" s="3" t="str">
        <f t="shared" si="2"/>
        <v xml:space="preserve">432-Energy Retrofitters, Inc. </v>
      </c>
      <c r="B140" s="3">
        <v>432</v>
      </c>
      <c r="C140" s="3" t="s">
        <v>1197</v>
      </c>
      <c r="D140" s="3" t="s">
        <v>1198</v>
      </c>
      <c r="E140" s="3"/>
      <c r="F140" s="3"/>
      <c r="G140" s="3" t="s">
        <v>1199</v>
      </c>
      <c r="H140" s="3" t="s">
        <v>1200</v>
      </c>
      <c r="I140" s="3" t="s">
        <v>436</v>
      </c>
      <c r="J140" s="3" t="s">
        <v>1201</v>
      </c>
      <c r="L140" t="s">
        <v>466</v>
      </c>
      <c r="M140" t="s">
        <v>23</v>
      </c>
      <c r="N140">
        <v>76135</v>
      </c>
      <c r="O140" t="s">
        <v>1202</v>
      </c>
      <c r="P140" t="s">
        <v>1203</v>
      </c>
      <c r="Q140" t="s">
        <v>1204</v>
      </c>
    </row>
    <row r="141" spans="1:17" x14ac:dyDescent="0.25">
      <c r="A141" s="3" t="str">
        <f t="shared" si="2"/>
        <v>238-Energy Saving Management Systems (ESMS)</v>
      </c>
      <c r="B141" s="3">
        <v>238</v>
      </c>
      <c r="C141" s="3" t="s">
        <v>1205</v>
      </c>
      <c r="D141" s="3" t="s">
        <v>1206</v>
      </c>
      <c r="E141" s="3"/>
      <c r="F141" s="3"/>
      <c r="G141" s="3" t="s">
        <v>1207</v>
      </c>
      <c r="H141" s="3" t="s">
        <v>1208</v>
      </c>
      <c r="I141" s="3" t="s">
        <v>1209</v>
      </c>
      <c r="J141" s="3" t="s">
        <v>1210</v>
      </c>
      <c r="L141" t="s">
        <v>1211</v>
      </c>
      <c r="M141" t="s">
        <v>853</v>
      </c>
      <c r="N141">
        <v>98275</v>
      </c>
      <c r="O141" t="s">
        <v>1212</v>
      </c>
      <c r="Q141" t="s">
        <v>1213</v>
      </c>
    </row>
    <row r="142" spans="1:17" x14ac:dyDescent="0.25">
      <c r="A142" s="3" t="str">
        <f t="shared" si="2"/>
        <v>284-Energy Saving Strategies</v>
      </c>
      <c r="B142" s="3">
        <v>284</v>
      </c>
      <c r="C142" s="3" t="s">
        <v>1214</v>
      </c>
      <c r="D142" s="3" t="s">
        <v>1215</v>
      </c>
      <c r="E142" s="3" t="s">
        <v>1216</v>
      </c>
      <c r="F142" s="3" t="s">
        <v>1217</v>
      </c>
      <c r="G142" s="3" t="s">
        <v>1218</v>
      </c>
      <c r="H142" s="3" t="s">
        <v>1219</v>
      </c>
      <c r="I142" s="3" t="s">
        <v>825</v>
      </c>
      <c r="J142" s="3" t="s">
        <v>1220</v>
      </c>
      <c r="L142" t="s">
        <v>1221</v>
      </c>
      <c r="M142" t="s">
        <v>23</v>
      </c>
      <c r="N142">
        <v>78633</v>
      </c>
      <c r="O142" t="s">
        <v>1222</v>
      </c>
      <c r="P142" t="s">
        <v>1223</v>
      </c>
      <c r="Q142" t="s">
        <v>1224</v>
      </c>
    </row>
    <row r="143" spans="1:17" x14ac:dyDescent="0.25">
      <c r="A143" s="3" t="str">
        <f t="shared" si="2"/>
        <v>419-Entech Sales and Service, Inc</v>
      </c>
      <c r="B143" s="3">
        <v>419</v>
      </c>
      <c r="C143" s="3" t="s">
        <v>1225</v>
      </c>
      <c r="D143" s="3" t="s">
        <v>1226</v>
      </c>
      <c r="E143" s="3"/>
      <c r="F143" s="3"/>
      <c r="G143" s="3" t="s">
        <v>1227</v>
      </c>
      <c r="H143" s="3" t="s">
        <v>1228</v>
      </c>
      <c r="I143" s="3" t="s">
        <v>390</v>
      </c>
      <c r="J143" s="3" t="s">
        <v>1229</v>
      </c>
      <c r="L143" t="s">
        <v>22</v>
      </c>
      <c r="M143" t="s">
        <v>23</v>
      </c>
      <c r="N143">
        <v>77039</v>
      </c>
      <c r="O143" t="s">
        <v>1230</v>
      </c>
      <c r="P143" t="s">
        <v>1231</v>
      </c>
      <c r="Q143" t="s">
        <v>1232</v>
      </c>
    </row>
    <row r="144" spans="1:17" x14ac:dyDescent="0.25">
      <c r="A144" s="3" t="str">
        <f t="shared" si="2"/>
        <v>523-Entergy Solutions District Cooling</v>
      </c>
      <c r="B144" s="3">
        <v>523</v>
      </c>
      <c r="C144" s="3" t="s">
        <v>1233</v>
      </c>
      <c r="D144" s="3" t="s">
        <v>1234</v>
      </c>
      <c r="E144" s="3"/>
      <c r="F144" s="3"/>
      <c r="G144" s="3" t="s">
        <v>312</v>
      </c>
      <c r="H144" s="3" t="s">
        <v>1235</v>
      </c>
      <c r="I144" s="3" t="s">
        <v>1236</v>
      </c>
      <c r="J144" s="3" t="s">
        <v>1237</v>
      </c>
      <c r="L144" t="s">
        <v>1238</v>
      </c>
      <c r="M144" t="s">
        <v>23</v>
      </c>
      <c r="N144">
        <v>77002</v>
      </c>
      <c r="O144" t="s">
        <v>1239</v>
      </c>
      <c r="Q144" t="s">
        <v>1240</v>
      </c>
    </row>
    <row r="145" spans="1:17" x14ac:dyDescent="0.25">
      <c r="A145" s="3" t="str">
        <f t="shared" si="2"/>
        <v>507-ENVIROLITE LLC</v>
      </c>
      <c r="B145" s="3">
        <v>507</v>
      </c>
      <c r="C145" s="3" t="s">
        <v>1241</v>
      </c>
      <c r="D145" s="3" t="s">
        <v>1242</v>
      </c>
      <c r="E145" s="3"/>
      <c r="F145" s="3"/>
      <c r="G145" s="3" t="s">
        <v>1243</v>
      </c>
      <c r="H145" s="3" t="s">
        <v>1244</v>
      </c>
      <c r="I145" s="3" t="s">
        <v>436</v>
      </c>
      <c r="J145" s="3" t="s">
        <v>1245</v>
      </c>
      <c r="L145" t="s">
        <v>1246</v>
      </c>
      <c r="M145" t="s">
        <v>23</v>
      </c>
      <c r="N145">
        <v>75093</v>
      </c>
      <c r="O145" t="s">
        <v>1247</v>
      </c>
      <c r="P145" t="s">
        <v>1248</v>
      </c>
      <c r="Q145" t="s">
        <v>1249</v>
      </c>
    </row>
    <row r="146" spans="1:17" x14ac:dyDescent="0.25">
      <c r="A146" s="3" t="str">
        <f t="shared" si="2"/>
        <v>429-ESA Energy Systems Associates, Inc.</v>
      </c>
      <c r="B146" s="3">
        <v>429</v>
      </c>
      <c r="C146" s="3" t="s">
        <v>1250</v>
      </c>
      <c r="D146" s="3" t="s">
        <v>1251</v>
      </c>
      <c r="E146" s="3" t="s">
        <v>1252</v>
      </c>
      <c r="F146" s="3" t="s">
        <v>1250</v>
      </c>
      <c r="G146" s="3" t="s">
        <v>1075</v>
      </c>
      <c r="H146" s="3" t="s">
        <v>1253</v>
      </c>
      <c r="I146" s="3" t="s">
        <v>1254</v>
      </c>
      <c r="J146" s="3" t="s">
        <v>1255</v>
      </c>
      <c r="K146" t="s">
        <v>1256</v>
      </c>
      <c r="L146" t="s">
        <v>22</v>
      </c>
      <c r="M146" t="s">
        <v>23</v>
      </c>
      <c r="N146">
        <v>77043</v>
      </c>
      <c r="O146" t="s">
        <v>1257</v>
      </c>
      <c r="P146" t="s">
        <v>1258</v>
      </c>
      <c r="Q146" t="s">
        <v>1259</v>
      </c>
    </row>
    <row r="147" spans="1:17" x14ac:dyDescent="0.25">
      <c r="A147" s="3" t="str">
        <f t="shared" si="2"/>
        <v>623-ESCO Energy Services Company</v>
      </c>
      <c r="B147" s="3">
        <v>623</v>
      </c>
      <c r="C147" s="3" t="s">
        <v>1260</v>
      </c>
      <c r="D147" s="3" t="s">
        <v>1261</v>
      </c>
      <c r="E147" s="3"/>
      <c r="F147" s="3"/>
      <c r="G147" s="3" t="s">
        <v>1262</v>
      </c>
      <c r="H147" s="3" t="s">
        <v>1263</v>
      </c>
      <c r="I147" s="3" t="s">
        <v>436</v>
      </c>
      <c r="J147" s="3" t="s">
        <v>1264</v>
      </c>
      <c r="L147" t="s">
        <v>1265</v>
      </c>
      <c r="M147" t="s">
        <v>327</v>
      </c>
      <c r="N147">
        <v>1240</v>
      </c>
      <c r="O147" t="s">
        <v>1266</v>
      </c>
      <c r="P147" t="s">
        <v>1267</v>
      </c>
      <c r="Q147" t="s">
        <v>1268</v>
      </c>
    </row>
    <row r="148" spans="1:17" x14ac:dyDescent="0.25">
      <c r="A148" s="3" t="str">
        <f t="shared" si="2"/>
        <v>250-Essential Energy Services, Inc</v>
      </c>
      <c r="B148" s="3">
        <v>250</v>
      </c>
      <c r="C148" s="3" t="s">
        <v>1269</v>
      </c>
      <c r="D148" s="3" t="s">
        <v>1270</v>
      </c>
      <c r="E148" s="3"/>
      <c r="F148" s="3"/>
      <c r="G148" s="3" t="s">
        <v>1271</v>
      </c>
      <c r="H148" s="3" t="s">
        <v>1272</v>
      </c>
      <c r="I148" s="3" t="s">
        <v>436</v>
      </c>
      <c r="J148" s="3" t="s">
        <v>1273</v>
      </c>
      <c r="L148" t="s">
        <v>1274</v>
      </c>
      <c r="M148" t="s">
        <v>23</v>
      </c>
      <c r="N148">
        <v>76207</v>
      </c>
      <c r="O148" t="s">
        <v>1275</v>
      </c>
      <c r="Q148" t="s">
        <v>1276</v>
      </c>
    </row>
    <row r="149" spans="1:17" x14ac:dyDescent="0.25">
      <c r="A149" s="3" t="str">
        <f t="shared" si="2"/>
        <v>287-Essential Energy Services, Inc</v>
      </c>
      <c r="B149" s="3">
        <v>287</v>
      </c>
      <c r="C149" s="3" t="s">
        <v>1277</v>
      </c>
      <c r="D149" s="3" t="s">
        <v>1270</v>
      </c>
      <c r="E149" s="3"/>
      <c r="F149" s="3"/>
      <c r="G149" s="3" t="s">
        <v>39</v>
      </c>
      <c r="H149" s="3" t="s">
        <v>1278</v>
      </c>
      <c r="I149" s="3" t="s">
        <v>185</v>
      </c>
      <c r="J149" s="3" t="s">
        <v>1273</v>
      </c>
      <c r="L149" t="s">
        <v>1274</v>
      </c>
      <c r="M149" t="s">
        <v>23</v>
      </c>
      <c r="N149">
        <v>76207</v>
      </c>
      <c r="O149" t="s">
        <v>1275</v>
      </c>
      <c r="Q149" t="s">
        <v>1279</v>
      </c>
    </row>
    <row r="150" spans="1:17" x14ac:dyDescent="0.25">
      <c r="A150" s="3" t="str">
        <f t="shared" si="2"/>
        <v>228-E-Tex Energy Systems LLC</v>
      </c>
      <c r="B150" s="3">
        <v>228</v>
      </c>
      <c r="C150" s="3" t="s">
        <v>1280</v>
      </c>
      <c r="D150" s="3" t="s">
        <v>1281</v>
      </c>
      <c r="E150" s="3"/>
      <c r="F150" s="3"/>
      <c r="G150" s="3" t="s">
        <v>1282</v>
      </c>
      <c r="H150" s="3" t="s">
        <v>1283</v>
      </c>
      <c r="I150" s="3" t="s">
        <v>1284</v>
      </c>
      <c r="J150" s="3" t="s">
        <v>1285</v>
      </c>
      <c r="L150" t="s">
        <v>22</v>
      </c>
      <c r="M150" t="s">
        <v>23</v>
      </c>
      <c r="N150">
        <v>77007</v>
      </c>
      <c r="O150" t="s">
        <v>1286</v>
      </c>
      <c r="Q150" t="s">
        <v>1287</v>
      </c>
    </row>
    <row r="151" spans="1:17" x14ac:dyDescent="0.25">
      <c r="A151" s="3" t="str">
        <f t="shared" si="2"/>
        <v>374-Evaporcool Solutions, LLC</v>
      </c>
      <c r="B151" s="3">
        <v>374</v>
      </c>
      <c r="C151" s="3" t="s">
        <v>1288</v>
      </c>
      <c r="D151" s="3" t="s">
        <v>1289</v>
      </c>
      <c r="E151" s="3"/>
      <c r="F151" s="3"/>
      <c r="G151" s="3" t="s">
        <v>1290</v>
      </c>
      <c r="H151" s="3" t="s">
        <v>1291</v>
      </c>
      <c r="I151" s="3" t="s">
        <v>1292</v>
      </c>
      <c r="J151" s="3" t="s">
        <v>1293</v>
      </c>
      <c r="L151" t="s">
        <v>1294</v>
      </c>
      <c r="M151" t="s">
        <v>1295</v>
      </c>
      <c r="N151">
        <v>38134</v>
      </c>
      <c r="O151" t="s">
        <v>1296</v>
      </c>
      <c r="Q151" t="s">
        <v>1297</v>
      </c>
    </row>
    <row r="152" spans="1:17" x14ac:dyDescent="0.25">
      <c r="A152" s="3" t="str">
        <f t="shared" si="2"/>
        <v>319-Exel</v>
      </c>
      <c r="B152" s="3">
        <v>319</v>
      </c>
      <c r="C152" s="3" t="s">
        <v>1298</v>
      </c>
      <c r="D152" s="3" t="s">
        <v>1299</v>
      </c>
      <c r="E152" s="3"/>
      <c r="F152" s="3"/>
      <c r="G152" s="3" t="s">
        <v>275</v>
      </c>
      <c r="H152" s="3" t="s">
        <v>1300</v>
      </c>
      <c r="I152" s="3" t="s">
        <v>1301</v>
      </c>
      <c r="J152" s="3" t="s">
        <v>1302</v>
      </c>
      <c r="L152" t="s">
        <v>1303</v>
      </c>
      <c r="M152" t="s">
        <v>1002</v>
      </c>
      <c r="N152">
        <v>43082</v>
      </c>
      <c r="O152" t="s">
        <v>1304</v>
      </c>
      <c r="Q152" t="s">
        <v>1305</v>
      </c>
    </row>
    <row r="153" spans="1:17" x14ac:dyDescent="0.25">
      <c r="A153" s="3" t="str">
        <f t="shared" si="2"/>
        <v>289-Expert Energy Services</v>
      </c>
      <c r="B153" s="3">
        <v>289</v>
      </c>
      <c r="C153" s="3" t="s">
        <v>1306</v>
      </c>
      <c r="D153" s="3" t="s">
        <v>1307</v>
      </c>
      <c r="E153" s="3"/>
      <c r="F153" s="3"/>
      <c r="G153" s="3" t="s">
        <v>349</v>
      </c>
      <c r="H153" s="3" t="s">
        <v>1067</v>
      </c>
      <c r="I153" s="3" t="s">
        <v>78</v>
      </c>
      <c r="J153" s="3" t="s">
        <v>1308</v>
      </c>
      <c r="L153" t="s">
        <v>22</v>
      </c>
      <c r="M153" t="s">
        <v>23</v>
      </c>
      <c r="N153" t="s">
        <v>1309</v>
      </c>
      <c r="O153" t="s">
        <v>1310</v>
      </c>
      <c r="P153" t="s">
        <v>1311</v>
      </c>
      <c r="Q153" t="s">
        <v>1312</v>
      </c>
    </row>
    <row r="154" spans="1:17" x14ac:dyDescent="0.25">
      <c r="A154" s="3" t="str">
        <f t="shared" si="2"/>
        <v>626-Express Electrical Services</v>
      </c>
      <c r="B154" s="3">
        <v>626</v>
      </c>
      <c r="C154" s="3" t="s">
        <v>1313</v>
      </c>
      <c r="D154" s="3" t="s">
        <v>1314</v>
      </c>
      <c r="E154" s="3"/>
      <c r="F154" s="3"/>
      <c r="G154" s="3" t="s">
        <v>1315</v>
      </c>
      <c r="H154" s="3" t="s">
        <v>1316</v>
      </c>
      <c r="I154" s="3" t="s">
        <v>612</v>
      </c>
      <c r="J154" s="3" t="s">
        <v>1317</v>
      </c>
      <c r="L154" t="s">
        <v>22</v>
      </c>
      <c r="M154" t="s">
        <v>23</v>
      </c>
      <c r="N154">
        <v>77015</v>
      </c>
      <c r="O154" t="s">
        <v>1318</v>
      </c>
      <c r="Q154" t="s">
        <v>1319</v>
      </c>
    </row>
    <row r="155" spans="1:17" x14ac:dyDescent="0.25">
      <c r="A155" s="3" t="str">
        <f t="shared" si="2"/>
        <v>410-Facilities Mechanical, Inc.</v>
      </c>
      <c r="B155" s="3">
        <v>410</v>
      </c>
      <c r="C155" s="3" t="s">
        <v>1320</v>
      </c>
      <c r="D155" s="3" t="s">
        <v>1321</v>
      </c>
      <c r="E155" s="3"/>
      <c r="F155" s="3"/>
      <c r="G155" s="3" t="s">
        <v>629</v>
      </c>
      <c r="H155" s="3" t="s">
        <v>1322</v>
      </c>
      <c r="I155" s="3" t="s">
        <v>1323</v>
      </c>
      <c r="J155" s="3" t="s">
        <v>1324</v>
      </c>
      <c r="L155" t="s">
        <v>22</v>
      </c>
      <c r="M155" t="s">
        <v>23</v>
      </c>
      <c r="N155">
        <v>77041</v>
      </c>
      <c r="O155" t="s">
        <v>1325</v>
      </c>
      <c r="P155">
        <v>7133331703</v>
      </c>
      <c r="Q155" t="s">
        <v>1326</v>
      </c>
    </row>
    <row r="156" spans="1:17" x14ac:dyDescent="0.25">
      <c r="A156" s="3" t="str">
        <f t="shared" si="2"/>
        <v>357-Facility Solutions Group</v>
      </c>
      <c r="B156" s="3">
        <v>357</v>
      </c>
      <c r="C156" s="3" t="s">
        <v>1327</v>
      </c>
      <c r="D156" s="3" t="s">
        <v>294</v>
      </c>
      <c r="E156" s="3"/>
      <c r="F156" s="3"/>
      <c r="G156" s="3" t="s">
        <v>1328</v>
      </c>
      <c r="H156" s="3" t="s">
        <v>1329</v>
      </c>
      <c r="I156" s="3" t="s">
        <v>1330</v>
      </c>
      <c r="J156" s="3" t="s">
        <v>289</v>
      </c>
      <c r="L156" t="s">
        <v>22</v>
      </c>
      <c r="M156" t="s">
        <v>23</v>
      </c>
      <c r="N156">
        <v>77040</v>
      </c>
      <c r="O156" t="s">
        <v>290</v>
      </c>
      <c r="Q156" t="s">
        <v>1331</v>
      </c>
    </row>
    <row r="157" spans="1:17" x14ac:dyDescent="0.25">
      <c r="A157" s="3" t="str">
        <f t="shared" si="2"/>
        <v>417-FE2 Solutions</v>
      </c>
      <c r="B157" s="3">
        <v>417</v>
      </c>
      <c r="C157" s="3" t="s">
        <v>1332</v>
      </c>
      <c r="D157" s="3" t="s">
        <v>1333</v>
      </c>
      <c r="E157" s="3"/>
      <c r="F157" s="3"/>
      <c r="G157" s="3" t="s">
        <v>1334</v>
      </c>
      <c r="H157" s="3" t="s">
        <v>1335</v>
      </c>
      <c r="I157" s="3" t="s">
        <v>1336</v>
      </c>
      <c r="J157" s="3" t="s">
        <v>1337</v>
      </c>
      <c r="L157" t="s">
        <v>759</v>
      </c>
      <c r="M157" t="s">
        <v>23</v>
      </c>
      <c r="N157">
        <v>77584</v>
      </c>
      <c r="O157" t="s">
        <v>1338</v>
      </c>
      <c r="Q157" t="s">
        <v>1339</v>
      </c>
    </row>
    <row r="158" spans="1:17" x14ac:dyDescent="0.25">
      <c r="A158" s="3" t="str">
        <f t="shared" si="2"/>
        <v>547-Federal Reserve Bank of Dallas- Houston office</v>
      </c>
      <c r="B158" s="3">
        <v>547</v>
      </c>
      <c r="C158" s="3" t="s">
        <v>1340</v>
      </c>
      <c r="D158" s="3" t="s">
        <v>1341</v>
      </c>
      <c r="E158" s="3"/>
      <c r="F158" s="3"/>
      <c r="G158" s="3" t="s">
        <v>1342</v>
      </c>
      <c r="H158" s="3" t="s">
        <v>1343</v>
      </c>
      <c r="I158" s="3" t="s">
        <v>1344</v>
      </c>
      <c r="J158" s="3" t="s">
        <v>1345</v>
      </c>
      <c r="L158" t="s">
        <v>22</v>
      </c>
      <c r="M158" t="s">
        <v>23</v>
      </c>
      <c r="N158">
        <v>77019</v>
      </c>
      <c r="O158" t="s">
        <v>1346</v>
      </c>
      <c r="Q158" t="s">
        <v>1347</v>
      </c>
    </row>
    <row r="159" spans="1:17" x14ac:dyDescent="0.25">
      <c r="A159" s="3" t="str">
        <f t="shared" si="2"/>
        <v>440-Fine Line Electric</v>
      </c>
      <c r="B159" s="3">
        <v>440</v>
      </c>
      <c r="C159" s="3" t="s">
        <v>1348</v>
      </c>
      <c r="D159" s="3" t="s">
        <v>1349</v>
      </c>
      <c r="E159" s="3"/>
      <c r="F159" s="3"/>
      <c r="G159" s="3" t="s">
        <v>1350</v>
      </c>
      <c r="H159" s="3" t="s">
        <v>1351</v>
      </c>
      <c r="I159" s="3" t="s">
        <v>1352</v>
      </c>
      <c r="J159" s="3" t="s">
        <v>1353</v>
      </c>
      <c r="L159" t="s">
        <v>116</v>
      </c>
      <c r="M159" t="s">
        <v>117</v>
      </c>
      <c r="N159">
        <v>33064</v>
      </c>
      <c r="O159" t="s">
        <v>1354</v>
      </c>
      <c r="Q159" t="s">
        <v>1355</v>
      </c>
    </row>
    <row r="160" spans="1:17" x14ac:dyDescent="0.25">
      <c r="A160" s="3" t="str">
        <f t="shared" si="2"/>
        <v>631-Fine Line Electric</v>
      </c>
      <c r="B160">
        <v>631</v>
      </c>
      <c r="D160" t="s">
        <v>1349</v>
      </c>
      <c r="G160" t="s">
        <v>1356</v>
      </c>
      <c r="H160" t="s">
        <v>1357</v>
      </c>
      <c r="J160" t="s">
        <v>1353</v>
      </c>
      <c r="L160" t="s">
        <v>116</v>
      </c>
      <c r="M160" t="s">
        <v>117</v>
      </c>
      <c r="N160">
        <v>33064</v>
      </c>
      <c r="O160" t="s">
        <v>1354</v>
      </c>
      <c r="Q160" t="s">
        <v>1355</v>
      </c>
    </row>
    <row r="161" spans="1:17" x14ac:dyDescent="0.25">
      <c r="A161" s="3" t="str">
        <f t="shared" si="2"/>
        <v>509-First United Methodist Church Katy</v>
      </c>
      <c r="B161" s="3">
        <v>509</v>
      </c>
      <c r="C161" s="3" t="s">
        <v>1358</v>
      </c>
      <c r="D161" s="3" t="s">
        <v>1359</v>
      </c>
      <c r="E161" s="3"/>
      <c r="F161" s="3"/>
      <c r="G161" s="3" t="s">
        <v>1360</v>
      </c>
      <c r="H161" s="3" t="s">
        <v>1361</v>
      </c>
      <c r="I161" s="3" t="s">
        <v>1362</v>
      </c>
      <c r="J161" s="3" t="s">
        <v>1363</v>
      </c>
      <c r="L161" t="s">
        <v>1364</v>
      </c>
      <c r="M161" t="s">
        <v>23</v>
      </c>
      <c r="N161">
        <v>77493</v>
      </c>
      <c r="O161" t="s">
        <v>1365</v>
      </c>
      <c r="P161" t="s">
        <v>1366</v>
      </c>
      <c r="Q161" t="s">
        <v>1367</v>
      </c>
    </row>
    <row r="162" spans="1:17" x14ac:dyDescent="0.25">
      <c r="A162" s="3" t="str">
        <f t="shared" si="2"/>
        <v>503-Fluor Enterprises, Inc</v>
      </c>
      <c r="B162" s="3">
        <v>503</v>
      </c>
      <c r="C162" s="3" t="s">
        <v>1368</v>
      </c>
      <c r="D162" s="3" t="s">
        <v>1369</v>
      </c>
      <c r="E162" s="3"/>
      <c r="F162" s="3"/>
      <c r="G162" s="3" t="s">
        <v>112</v>
      </c>
      <c r="H162" s="3" t="s">
        <v>1370</v>
      </c>
      <c r="I162" s="3" t="s">
        <v>1371</v>
      </c>
      <c r="J162" s="3" t="s">
        <v>1372</v>
      </c>
      <c r="K162" t="s">
        <v>1373</v>
      </c>
      <c r="L162" t="s">
        <v>1374</v>
      </c>
      <c r="M162" t="s">
        <v>1375</v>
      </c>
      <c r="N162">
        <v>29607</v>
      </c>
      <c r="O162" t="s">
        <v>1376</v>
      </c>
      <c r="Q162" t="s">
        <v>1377</v>
      </c>
    </row>
    <row r="163" spans="1:17" x14ac:dyDescent="0.25">
      <c r="A163" s="3" t="str">
        <f t="shared" si="2"/>
        <v>472-Flux Drive, Inc</v>
      </c>
      <c r="B163" s="3">
        <v>472</v>
      </c>
      <c r="C163" s="3" t="s">
        <v>1378</v>
      </c>
      <c r="D163" s="3" t="s">
        <v>1379</v>
      </c>
      <c r="E163" s="3"/>
      <c r="F163" s="3"/>
      <c r="G163" s="3" t="s">
        <v>1380</v>
      </c>
      <c r="H163" s="3" t="s">
        <v>1381</v>
      </c>
      <c r="I163" s="3" t="s">
        <v>1382</v>
      </c>
      <c r="J163" s="3" t="s">
        <v>1383</v>
      </c>
      <c r="K163" t="s">
        <v>1384</v>
      </c>
      <c r="L163" t="s">
        <v>1385</v>
      </c>
      <c r="M163" t="s">
        <v>853</v>
      </c>
      <c r="N163">
        <v>98390</v>
      </c>
      <c r="O163" t="s">
        <v>1386</v>
      </c>
      <c r="P163" t="s">
        <v>1386</v>
      </c>
      <c r="Q163" t="s">
        <v>1387</v>
      </c>
    </row>
    <row r="164" spans="1:17" x14ac:dyDescent="0.25">
      <c r="A164" s="3" t="str">
        <f t="shared" si="2"/>
        <v>642-Forza Energy, LLC</v>
      </c>
      <c r="B164">
        <v>642</v>
      </c>
      <c r="D164" t="s">
        <v>1388</v>
      </c>
      <c r="G164" t="s">
        <v>1389</v>
      </c>
      <c r="H164" t="s">
        <v>1390</v>
      </c>
      <c r="J164" t="s">
        <v>1391</v>
      </c>
      <c r="L164" t="s">
        <v>1392</v>
      </c>
      <c r="M164" t="s">
        <v>1393</v>
      </c>
      <c r="N164" s="4" t="s">
        <v>1394</v>
      </c>
      <c r="O164" t="s">
        <v>1395</v>
      </c>
      <c r="Q164" t="s">
        <v>1396</v>
      </c>
    </row>
    <row r="165" spans="1:17" x14ac:dyDescent="0.25">
      <c r="A165" s="3" t="str">
        <f t="shared" si="2"/>
        <v>437-Frito Lay Inc.</v>
      </c>
      <c r="B165" s="3">
        <v>437</v>
      </c>
      <c r="C165" s="3" t="s">
        <v>1397</v>
      </c>
      <c r="D165" s="3" t="s">
        <v>1398</v>
      </c>
      <c r="E165" s="3"/>
      <c r="F165" s="3"/>
      <c r="G165" s="3" t="s">
        <v>730</v>
      </c>
      <c r="H165" s="3" t="s">
        <v>1399</v>
      </c>
      <c r="I165" s="3" t="s">
        <v>1400</v>
      </c>
      <c r="J165" s="3" t="s">
        <v>1401</v>
      </c>
      <c r="L165" t="s">
        <v>1402</v>
      </c>
      <c r="M165" t="s">
        <v>23</v>
      </c>
      <c r="N165">
        <v>77471</v>
      </c>
      <c r="O165" t="s">
        <v>1403</v>
      </c>
      <c r="P165" t="s">
        <v>1404</v>
      </c>
      <c r="Q165" t="s">
        <v>1405</v>
      </c>
    </row>
    <row r="166" spans="1:17" x14ac:dyDescent="0.25">
      <c r="A166" s="3" t="str">
        <f t="shared" si="2"/>
        <v>232-Frontier Testing</v>
      </c>
      <c r="B166" s="3">
        <v>232</v>
      </c>
      <c r="C166" s="3" t="s">
        <v>1406</v>
      </c>
      <c r="D166" s="3" t="s">
        <v>1407</v>
      </c>
      <c r="E166" s="3"/>
      <c r="F166" s="3"/>
      <c r="G166" s="3" t="s">
        <v>1407</v>
      </c>
      <c r="H166" s="3" t="s">
        <v>1407</v>
      </c>
      <c r="I166" s="3" t="s">
        <v>1407</v>
      </c>
      <c r="J166" s="3" t="s">
        <v>1407</v>
      </c>
      <c r="L166" t="s">
        <v>1407</v>
      </c>
      <c r="M166" t="s">
        <v>23</v>
      </c>
      <c r="N166">
        <v>12345</v>
      </c>
      <c r="O166" t="s">
        <v>1408</v>
      </c>
      <c r="Q166" t="s">
        <v>1409</v>
      </c>
    </row>
    <row r="167" spans="1:17" x14ac:dyDescent="0.25">
      <c r="A167" s="3" t="str">
        <f t="shared" si="2"/>
        <v>271-FSG Lighting</v>
      </c>
      <c r="B167" s="3">
        <v>271</v>
      </c>
      <c r="C167" s="3" t="s">
        <v>1410</v>
      </c>
      <c r="D167" s="3" t="s">
        <v>1411</v>
      </c>
      <c r="E167" s="3" t="s">
        <v>294</v>
      </c>
      <c r="F167" s="3" t="s">
        <v>1410</v>
      </c>
      <c r="G167" s="3" t="s">
        <v>1412</v>
      </c>
      <c r="H167" s="3" t="s">
        <v>1413</v>
      </c>
      <c r="I167" s="3" t="s">
        <v>268</v>
      </c>
      <c r="J167" s="3" t="s">
        <v>1414</v>
      </c>
      <c r="K167" t="s">
        <v>1415</v>
      </c>
      <c r="L167" t="s">
        <v>1416</v>
      </c>
      <c r="M167" t="s">
        <v>23</v>
      </c>
      <c r="N167">
        <v>75229</v>
      </c>
      <c r="O167" t="s">
        <v>1417</v>
      </c>
      <c r="P167" t="s">
        <v>1418</v>
      </c>
      <c r="Q167" t="s">
        <v>1419</v>
      </c>
    </row>
    <row r="168" spans="1:17" x14ac:dyDescent="0.25">
      <c r="A168" s="3" t="str">
        <f t="shared" si="2"/>
        <v>267-G&amp;R Electrical Construction, Inc.</v>
      </c>
      <c r="B168" s="3">
        <v>267</v>
      </c>
      <c r="C168" s="3" t="s">
        <v>1420</v>
      </c>
      <c r="D168" s="3" t="s">
        <v>1421</v>
      </c>
      <c r="E168" s="3"/>
      <c r="F168" s="3"/>
      <c r="G168" s="3" t="s">
        <v>1422</v>
      </c>
      <c r="H168" s="3" t="s">
        <v>1423</v>
      </c>
      <c r="I168" s="3" t="s">
        <v>1424</v>
      </c>
      <c r="J168" s="3" t="s">
        <v>1425</v>
      </c>
      <c r="L168" t="s">
        <v>22</v>
      </c>
      <c r="M168" t="s">
        <v>23</v>
      </c>
      <c r="N168">
        <v>77041</v>
      </c>
      <c r="O168" t="s">
        <v>1426</v>
      </c>
      <c r="P168" t="s">
        <v>1427</v>
      </c>
      <c r="Q168" t="s">
        <v>1428</v>
      </c>
    </row>
    <row r="169" spans="1:17" x14ac:dyDescent="0.25">
      <c r="A169" s="3" t="str">
        <f t="shared" si="2"/>
        <v>563-Gap inc</v>
      </c>
      <c r="B169" s="3">
        <v>563</v>
      </c>
      <c r="C169" s="3" t="s">
        <v>1429</v>
      </c>
      <c r="D169" s="3" t="s">
        <v>1430</v>
      </c>
      <c r="E169" s="3"/>
      <c r="F169" s="3" t="s">
        <v>1431</v>
      </c>
      <c r="G169" s="3" t="s">
        <v>1432</v>
      </c>
      <c r="H169" s="3" t="s">
        <v>1433</v>
      </c>
      <c r="I169" s="3" t="s">
        <v>1434</v>
      </c>
      <c r="J169" s="3" t="s">
        <v>1435</v>
      </c>
      <c r="L169" t="s">
        <v>1436</v>
      </c>
      <c r="M169" t="s">
        <v>1051</v>
      </c>
      <c r="N169">
        <v>28273</v>
      </c>
      <c r="O169" t="s">
        <v>1437</v>
      </c>
      <c r="Q169" t="s">
        <v>1438</v>
      </c>
    </row>
    <row r="170" spans="1:17" x14ac:dyDescent="0.25">
      <c r="A170" s="3" t="str">
        <f t="shared" si="2"/>
        <v>375-Garden Ridge LP</v>
      </c>
      <c r="B170" s="3">
        <v>375</v>
      </c>
      <c r="C170" s="3" t="s">
        <v>1439</v>
      </c>
      <c r="D170" s="3" t="s">
        <v>1440</v>
      </c>
      <c r="E170" s="3"/>
      <c r="F170" s="3"/>
      <c r="G170" s="3" t="s">
        <v>1441</v>
      </c>
      <c r="H170" s="3" t="s">
        <v>1442</v>
      </c>
      <c r="I170" s="3" t="s">
        <v>1443</v>
      </c>
      <c r="J170" s="3" t="s">
        <v>1444</v>
      </c>
      <c r="K170" t="s">
        <v>1445</v>
      </c>
      <c r="L170" t="s">
        <v>1126</v>
      </c>
      <c r="M170" t="s">
        <v>23</v>
      </c>
      <c r="N170">
        <v>77057</v>
      </c>
      <c r="O170" t="s">
        <v>1446</v>
      </c>
      <c r="Q170" t="s">
        <v>1447</v>
      </c>
    </row>
    <row r="171" spans="1:17" x14ac:dyDescent="0.25">
      <c r="A171" s="3" t="str">
        <f t="shared" si="2"/>
        <v>424-General Supply &amp; Services dba Gexpro</v>
      </c>
      <c r="B171" s="3">
        <v>424</v>
      </c>
      <c r="C171" s="3" t="s">
        <v>1448</v>
      </c>
      <c r="D171" s="3" t="s">
        <v>1449</v>
      </c>
      <c r="E171" s="3"/>
      <c r="F171" s="3"/>
      <c r="G171" s="3" t="s">
        <v>1450</v>
      </c>
      <c r="H171" s="3" t="s">
        <v>1451</v>
      </c>
      <c r="I171" s="3" t="s">
        <v>1452</v>
      </c>
      <c r="J171" s="3" t="s">
        <v>1453</v>
      </c>
      <c r="L171" t="s">
        <v>22</v>
      </c>
      <c r="M171" t="s">
        <v>23</v>
      </c>
      <c r="N171">
        <v>77092</v>
      </c>
      <c r="O171" t="s">
        <v>1454</v>
      </c>
      <c r="Q171" t="s">
        <v>1455</v>
      </c>
    </row>
    <row r="172" spans="1:17" x14ac:dyDescent="0.25">
      <c r="A172" s="3" t="str">
        <f t="shared" si="2"/>
        <v>499-Goodrum Investments</v>
      </c>
      <c r="B172" s="3">
        <v>499</v>
      </c>
      <c r="C172" s="3" t="s">
        <v>1456</v>
      </c>
      <c r="D172" s="3" t="s">
        <v>1457</v>
      </c>
      <c r="E172" s="3"/>
      <c r="F172" s="3"/>
      <c r="G172" s="3" t="s">
        <v>1458</v>
      </c>
      <c r="H172" s="3" t="s">
        <v>1459</v>
      </c>
      <c r="I172" s="3" t="s">
        <v>436</v>
      </c>
      <c r="J172" s="3" t="s">
        <v>1460</v>
      </c>
      <c r="L172" t="s">
        <v>1461</v>
      </c>
      <c r="M172" t="s">
        <v>23</v>
      </c>
      <c r="N172">
        <v>77562</v>
      </c>
      <c r="O172" t="s">
        <v>1462</v>
      </c>
      <c r="P172" t="s">
        <v>1463</v>
      </c>
      <c r="Q172" t="s">
        <v>1464</v>
      </c>
    </row>
    <row r="173" spans="1:17" x14ac:dyDescent="0.25">
      <c r="A173" s="3" t="str">
        <f t="shared" si="2"/>
        <v>641-Graybar</v>
      </c>
      <c r="B173">
        <v>641</v>
      </c>
      <c r="D173" t="s">
        <v>1465</v>
      </c>
      <c r="G173" t="s">
        <v>112</v>
      </c>
      <c r="H173" t="s">
        <v>858</v>
      </c>
      <c r="J173" t="s">
        <v>1466</v>
      </c>
      <c r="L173" t="s">
        <v>22</v>
      </c>
      <c r="M173" t="s">
        <v>23</v>
      </c>
      <c r="N173" s="4" t="s">
        <v>1467</v>
      </c>
      <c r="O173" t="s">
        <v>1468</v>
      </c>
      <c r="Q173" t="s">
        <v>1469</v>
      </c>
    </row>
    <row r="174" spans="1:17" x14ac:dyDescent="0.25">
      <c r="A174" s="3" t="str">
        <f t="shared" si="2"/>
        <v>510-Graybar Electric Company</v>
      </c>
      <c r="B174" s="3">
        <v>510</v>
      </c>
      <c r="C174" s="3" t="s">
        <v>1470</v>
      </c>
      <c r="D174" s="3" t="s">
        <v>1471</v>
      </c>
      <c r="E174" s="3"/>
      <c r="F174" s="3"/>
      <c r="G174" s="3" t="s">
        <v>1472</v>
      </c>
      <c r="H174" s="3" t="s">
        <v>1473</v>
      </c>
      <c r="I174" s="3" t="s">
        <v>1474</v>
      </c>
      <c r="J174" s="3" t="s">
        <v>1466</v>
      </c>
      <c r="L174" t="s">
        <v>22</v>
      </c>
      <c r="M174" t="s">
        <v>23</v>
      </c>
      <c r="N174">
        <v>77092</v>
      </c>
      <c r="O174" t="s">
        <v>1475</v>
      </c>
      <c r="Q174" t="s">
        <v>1476</v>
      </c>
    </row>
    <row r="175" spans="1:17" x14ac:dyDescent="0.25">
      <c r="A175" s="3" t="str">
        <f t="shared" si="2"/>
        <v>500-GREEN BUILDING SCIENCE NETWORK</v>
      </c>
      <c r="B175" s="3">
        <v>500</v>
      </c>
      <c r="C175" s="3" t="s">
        <v>1477</v>
      </c>
      <c r="D175" s="3" t="s">
        <v>1478</v>
      </c>
      <c r="E175" s="3"/>
      <c r="F175" s="3"/>
      <c r="G175" s="3" t="s">
        <v>1479</v>
      </c>
      <c r="H175" s="3" t="s">
        <v>1480</v>
      </c>
      <c r="I175" s="3" t="s">
        <v>1481</v>
      </c>
      <c r="J175" s="3" t="s">
        <v>1482</v>
      </c>
      <c r="L175" t="s">
        <v>1483</v>
      </c>
      <c r="M175" t="s">
        <v>23</v>
      </c>
      <c r="N175">
        <v>77710</v>
      </c>
      <c r="O175" t="s">
        <v>1484</v>
      </c>
      <c r="Q175" t="s">
        <v>1485</v>
      </c>
    </row>
    <row r="176" spans="1:17" x14ac:dyDescent="0.25">
      <c r="A176" s="3" t="str">
        <f t="shared" si="2"/>
        <v>495-Green Generation Solutions LLC</v>
      </c>
      <c r="B176" s="3">
        <v>495</v>
      </c>
      <c r="C176" s="3" t="s">
        <v>1486</v>
      </c>
      <c r="D176" s="3" t="s">
        <v>1487</v>
      </c>
      <c r="E176" s="3"/>
      <c r="F176" s="3"/>
      <c r="G176" s="3" t="s">
        <v>1488</v>
      </c>
      <c r="H176" s="3" t="s">
        <v>1489</v>
      </c>
      <c r="I176" s="3" t="s">
        <v>1011</v>
      </c>
      <c r="J176" s="3" t="s">
        <v>1490</v>
      </c>
      <c r="L176" t="s">
        <v>1491</v>
      </c>
      <c r="M176" t="s">
        <v>1492</v>
      </c>
      <c r="N176">
        <v>20814</v>
      </c>
      <c r="O176" t="s">
        <v>1493</v>
      </c>
      <c r="P176">
        <v>3016563701</v>
      </c>
      <c r="Q176" t="s">
        <v>1494</v>
      </c>
    </row>
    <row r="177" spans="1:17" x14ac:dyDescent="0.25">
      <c r="A177" s="3" t="str">
        <f t="shared" si="2"/>
        <v>493-Green Light Midwest</v>
      </c>
      <c r="B177" s="3">
        <v>493</v>
      </c>
      <c r="C177" s="3" t="s">
        <v>1495</v>
      </c>
      <c r="D177" s="3" t="s">
        <v>1496</v>
      </c>
      <c r="E177" s="3"/>
      <c r="F177" s="3"/>
      <c r="G177" s="3" t="s">
        <v>1497</v>
      </c>
      <c r="H177" s="3" t="s">
        <v>1498</v>
      </c>
      <c r="I177" s="3" t="s">
        <v>436</v>
      </c>
      <c r="J177" s="3" t="s">
        <v>1499</v>
      </c>
      <c r="K177" t="s">
        <v>1500</v>
      </c>
      <c r="L177" t="s">
        <v>526</v>
      </c>
      <c r="M177" t="s">
        <v>354</v>
      </c>
      <c r="N177">
        <v>60616</v>
      </c>
      <c r="O177">
        <v>7736333250</v>
      </c>
      <c r="Q177" t="s">
        <v>1501</v>
      </c>
    </row>
    <row r="178" spans="1:17" x14ac:dyDescent="0.25">
      <c r="A178" s="3" t="str">
        <f t="shared" si="2"/>
        <v>263-GreenLight Energy Services LLC</v>
      </c>
      <c r="B178" s="3">
        <v>263</v>
      </c>
      <c r="C178" s="3" t="s">
        <v>1502</v>
      </c>
      <c r="D178" s="3" t="s">
        <v>1503</v>
      </c>
      <c r="E178" s="3"/>
      <c r="F178" s="3"/>
      <c r="G178" s="3" t="s">
        <v>560</v>
      </c>
      <c r="H178" s="3" t="s">
        <v>1504</v>
      </c>
      <c r="I178" s="3" t="s">
        <v>78</v>
      </c>
      <c r="J178" s="3" t="s">
        <v>1505</v>
      </c>
      <c r="L178" t="s">
        <v>165</v>
      </c>
      <c r="M178" t="s">
        <v>23</v>
      </c>
      <c r="N178">
        <v>78767</v>
      </c>
      <c r="O178" t="s">
        <v>1506</v>
      </c>
      <c r="Q178" t="s">
        <v>1507</v>
      </c>
    </row>
    <row r="179" spans="1:17" x14ac:dyDescent="0.25">
      <c r="A179" s="3" t="str">
        <f t="shared" si="2"/>
        <v>600-GreenSave</v>
      </c>
      <c r="B179" s="3">
        <v>600</v>
      </c>
      <c r="C179" s="3" t="s">
        <v>1508</v>
      </c>
      <c r="D179" s="3" t="s">
        <v>1509</v>
      </c>
      <c r="E179" s="3"/>
      <c r="F179" s="3"/>
      <c r="G179" s="3" t="s">
        <v>1510</v>
      </c>
      <c r="H179" s="3" t="s">
        <v>1511</v>
      </c>
      <c r="I179" s="3" t="s">
        <v>1336</v>
      </c>
      <c r="J179" s="3" t="s">
        <v>1512</v>
      </c>
      <c r="L179" t="s">
        <v>1513</v>
      </c>
      <c r="M179" t="s">
        <v>155</v>
      </c>
      <c r="N179">
        <v>94939</v>
      </c>
      <c r="O179" t="s">
        <v>1514</v>
      </c>
      <c r="Q179" t="s">
        <v>1515</v>
      </c>
    </row>
    <row r="180" spans="1:17" x14ac:dyDescent="0.25">
      <c r="A180" s="3" t="str">
        <f t="shared" si="2"/>
        <v>485-Greif, LLC</v>
      </c>
      <c r="B180" s="3">
        <v>485</v>
      </c>
      <c r="C180" s="3" t="s">
        <v>1516</v>
      </c>
      <c r="D180" s="3" t="s">
        <v>1517</v>
      </c>
      <c r="E180" s="3"/>
      <c r="F180" s="3"/>
      <c r="G180" s="3" t="s">
        <v>1518</v>
      </c>
      <c r="H180" s="3" t="s">
        <v>1519</v>
      </c>
      <c r="I180" s="3" t="s">
        <v>1520</v>
      </c>
      <c r="J180" s="3" t="s">
        <v>1521</v>
      </c>
      <c r="L180" t="s">
        <v>22</v>
      </c>
      <c r="M180" t="s">
        <v>23</v>
      </c>
      <c r="N180">
        <v>77041</v>
      </c>
      <c r="O180" t="s">
        <v>1522</v>
      </c>
      <c r="Q180" t="s">
        <v>1523</v>
      </c>
    </row>
    <row r="181" spans="1:17" x14ac:dyDescent="0.25">
      <c r="A181" s="3" t="str">
        <f t="shared" si="2"/>
        <v>362-Groom Energy Solutions</v>
      </c>
      <c r="B181" s="3">
        <v>362</v>
      </c>
      <c r="C181" s="3" t="s">
        <v>1524</v>
      </c>
      <c r="D181" s="3" t="s">
        <v>1525</v>
      </c>
      <c r="E181" s="3"/>
      <c r="F181" s="3"/>
      <c r="G181" s="3" t="s">
        <v>1526</v>
      </c>
      <c r="H181" s="3" t="s">
        <v>1527</v>
      </c>
      <c r="I181" s="3" t="s">
        <v>1528</v>
      </c>
      <c r="J181" s="3" t="s">
        <v>1529</v>
      </c>
      <c r="L181" t="s">
        <v>1530</v>
      </c>
      <c r="M181" t="s">
        <v>327</v>
      </c>
      <c r="N181">
        <v>1970</v>
      </c>
      <c r="O181" t="s">
        <v>1531</v>
      </c>
      <c r="P181" t="s">
        <v>1532</v>
      </c>
      <c r="Q181" t="s">
        <v>1533</v>
      </c>
    </row>
    <row r="182" spans="1:17" x14ac:dyDescent="0.25">
      <c r="A182" s="3" t="str">
        <f t="shared" si="2"/>
        <v>640-Groom Energy Solutions</v>
      </c>
      <c r="B182">
        <v>640</v>
      </c>
      <c r="D182" t="s">
        <v>1525</v>
      </c>
      <c r="G182" t="s">
        <v>1534</v>
      </c>
      <c r="H182" t="s">
        <v>1535</v>
      </c>
      <c r="J182" t="s">
        <v>1529</v>
      </c>
      <c r="L182" t="s">
        <v>1530</v>
      </c>
      <c r="M182" t="s">
        <v>327</v>
      </c>
      <c r="N182" s="4" t="s">
        <v>1536</v>
      </c>
      <c r="O182" t="s">
        <v>1537</v>
      </c>
      <c r="Q182" t="s">
        <v>1538</v>
      </c>
    </row>
    <row r="183" spans="1:17" x14ac:dyDescent="0.25">
      <c r="A183" s="3" t="str">
        <f t="shared" si="2"/>
        <v>491-GROUP-S LLC d/b/a EN-POWER GROUP</v>
      </c>
      <c r="B183" s="3">
        <v>491</v>
      </c>
      <c r="C183" s="3" t="s">
        <v>1539</v>
      </c>
      <c r="D183" s="3" t="s">
        <v>1540</v>
      </c>
      <c r="E183" s="3"/>
      <c r="F183" s="3"/>
      <c r="G183" s="3" t="s">
        <v>1497</v>
      </c>
      <c r="H183" s="3" t="s">
        <v>1541</v>
      </c>
      <c r="I183" s="3" t="s">
        <v>1077</v>
      </c>
      <c r="J183" s="3" t="s">
        <v>1542</v>
      </c>
      <c r="L183" t="s">
        <v>1543</v>
      </c>
      <c r="M183" t="s">
        <v>448</v>
      </c>
      <c r="N183">
        <v>10536</v>
      </c>
      <c r="O183" t="s">
        <v>1544</v>
      </c>
      <c r="Q183" t="s">
        <v>1545</v>
      </c>
    </row>
    <row r="184" spans="1:17" x14ac:dyDescent="0.25">
      <c r="A184" s="3" t="str">
        <f t="shared" si="2"/>
        <v>519-Hargrave Electric</v>
      </c>
      <c r="B184" s="3">
        <v>519</v>
      </c>
      <c r="C184" s="3" t="s">
        <v>1546</v>
      </c>
      <c r="D184" s="3" t="s">
        <v>1547</v>
      </c>
      <c r="E184" s="3"/>
      <c r="F184" s="3"/>
      <c r="G184" s="3" t="s">
        <v>472</v>
      </c>
      <c r="H184" s="3" t="s">
        <v>1548</v>
      </c>
      <c r="I184" s="3" t="s">
        <v>436</v>
      </c>
      <c r="J184" s="3" t="s">
        <v>1549</v>
      </c>
      <c r="L184" t="s">
        <v>22</v>
      </c>
      <c r="M184" t="s">
        <v>23</v>
      </c>
      <c r="N184">
        <v>77070</v>
      </c>
      <c r="O184" t="s">
        <v>1550</v>
      </c>
      <c r="P184" t="s">
        <v>1551</v>
      </c>
      <c r="Q184" t="s">
        <v>1552</v>
      </c>
    </row>
    <row r="185" spans="1:17" x14ac:dyDescent="0.25">
      <c r="A185" s="3" t="str">
        <f t="shared" si="2"/>
        <v>591-Havel</v>
      </c>
      <c r="B185" s="3">
        <v>591</v>
      </c>
      <c r="C185" s="3" t="s">
        <v>1553</v>
      </c>
      <c r="D185" s="3" t="s">
        <v>1554</v>
      </c>
      <c r="E185" s="3"/>
      <c r="F185" s="3"/>
      <c r="G185" s="3" t="s">
        <v>1555</v>
      </c>
      <c r="H185" s="3" t="s">
        <v>1556</v>
      </c>
      <c r="I185" s="3" t="s">
        <v>68</v>
      </c>
      <c r="J185" s="3" t="s">
        <v>1557</v>
      </c>
      <c r="L185" t="s">
        <v>1179</v>
      </c>
      <c r="M185" t="s">
        <v>1014</v>
      </c>
      <c r="N185">
        <v>46268</v>
      </c>
      <c r="O185" t="s">
        <v>1558</v>
      </c>
      <c r="Q185" t="s">
        <v>1559</v>
      </c>
    </row>
    <row r="186" spans="1:17" x14ac:dyDescent="0.25">
      <c r="A186" s="3" t="str">
        <f t="shared" si="2"/>
        <v>371-HC Energy LLC.</v>
      </c>
      <c r="B186" s="3">
        <v>371</v>
      </c>
      <c r="C186" s="3" t="s">
        <v>1560</v>
      </c>
      <c r="D186" s="3" t="s">
        <v>1561</v>
      </c>
      <c r="E186" s="3"/>
      <c r="F186" s="3"/>
      <c r="G186" s="3" t="s">
        <v>1562</v>
      </c>
      <c r="H186" s="3" t="s">
        <v>1563</v>
      </c>
      <c r="I186" s="3" t="s">
        <v>185</v>
      </c>
      <c r="J186" s="3" t="s">
        <v>1564</v>
      </c>
      <c r="L186" t="s">
        <v>165</v>
      </c>
      <c r="M186" t="s">
        <v>23</v>
      </c>
      <c r="N186">
        <v>78731</v>
      </c>
      <c r="O186" t="s">
        <v>1565</v>
      </c>
      <c r="Q186" t="s">
        <v>1566</v>
      </c>
    </row>
    <row r="187" spans="1:17" x14ac:dyDescent="0.25">
      <c r="A187" s="3" t="str">
        <f t="shared" si="2"/>
        <v>372-HC Energy LLC.</v>
      </c>
      <c r="B187" s="3">
        <v>372</v>
      </c>
      <c r="C187" s="3" t="s">
        <v>1560</v>
      </c>
      <c r="D187" s="3" t="s">
        <v>1561</v>
      </c>
      <c r="E187" s="3"/>
      <c r="F187" s="3"/>
      <c r="G187" s="3" t="s">
        <v>1562</v>
      </c>
      <c r="H187" s="3" t="s">
        <v>1563</v>
      </c>
      <c r="I187" s="3" t="s">
        <v>185</v>
      </c>
      <c r="J187" s="3" t="s">
        <v>1567</v>
      </c>
      <c r="L187" t="s">
        <v>1568</v>
      </c>
      <c r="M187" t="s">
        <v>23</v>
      </c>
      <c r="N187">
        <v>78613</v>
      </c>
      <c r="O187" t="s">
        <v>1565</v>
      </c>
      <c r="Q187" t="s">
        <v>1566</v>
      </c>
    </row>
    <row r="188" spans="1:17" x14ac:dyDescent="0.25">
      <c r="A188" s="3" t="str">
        <f t="shared" si="2"/>
        <v>235-HEB Grocery</v>
      </c>
      <c r="B188" s="3">
        <v>235</v>
      </c>
      <c r="C188" s="3" t="s">
        <v>1569</v>
      </c>
      <c r="D188" s="3" t="s">
        <v>1570</v>
      </c>
      <c r="E188" s="3"/>
      <c r="F188" s="3"/>
      <c r="G188" s="3" t="s">
        <v>1571</v>
      </c>
      <c r="H188" s="3" t="s">
        <v>1572</v>
      </c>
      <c r="I188" s="3" t="s">
        <v>1573</v>
      </c>
      <c r="J188" s="3" t="s">
        <v>1574</v>
      </c>
      <c r="L188" t="s">
        <v>143</v>
      </c>
      <c r="M188" t="s">
        <v>23</v>
      </c>
      <c r="N188">
        <v>78204</v>
      </c>
      <c r="O188" t="s">
        <v>1575</v>
      </c>
      <c r="P188" t="s">
        <v>1576</v>
      </c>
      <c r="Q188" t="s">
        <v>1577</v>
      </c>
    </row>
    <row r="189" spans="1:17" x14ac:dyDescent="0.25">
      <c r="A189" s="3" t="str">
        <f t="shared" si="2"/>
        <v>534-Henderson Engineers</v>
      </c>
      <c r="B189" s="3">
        <v>534</v>
      </c>
      <c r="C189" s="3" t="s">
        <v>1578</v>
      </c>
      <c r="D189" s="3" t="s">
        <v>1579</v>
      </c>
      <c r="E189" s="3"/>
      <c r="F189" s="3"/>
      <c r="G189" s="3" t="s">
        <v>1422</v>
      </c>
      <c r="H189" s="3" t="s">
        <v>1580</v>
      </c>
      <c r="I189" s="3" t="s">
        <v>1581</v>
      </c>
      <c r="J189" s="3" t="s">
        <v>1582</v>
      </c>
      <c r="L189" t="s">
        <v>1583</v>
      </c>
      <c r="M189" t="s">
        <v>280</v>
      </c>
      <c r="N189">
        <v>66215</v>
      </c>
      <c r="O189" t="s">
        <v>1584</v>
      </c>
      <c r="Q189" t="s">
        <v>1585</v>
      </c>
    </row>
    <row r="190" spans="1:17" x14ac:dyDescent="0.25">
      <c r="A190" s="3" t="str">
        <f t="shared" si="2"/>
        <v>376-Hewlett-Packard Company</v>
      </c>
      <c r="B190" s="3">
        <v>376</v>
      </c>
      <c r="C190" s="3" t="s">
        <v>1586</v>
      </c>
      <c r="D190" s="3" t="s">
        <v>1587</v>
      </c>
      <c r="E190" s="3" t="s">
        <v>1587</v>
      </c>
      <c r="F190" s="3" t="s">
        <v>1586</v>
      </c>
      <c r="G190" s="3" t="s">
        <v>1588</v>
      </c>
      <c r="H190" s="3" t="s">
        <v>1589</v>
      </c>
      <c r="I190" s="3" t="s">
        <v>1590</v>
      </c>
      <c r="J190" s="3" t="s">
        <v>1591</v>
      </c>
      <c r="L190" t="s">
        <v>1592</v>
      </c>
      <c r="M190" t="s">
        <v>1593</v>
      </c>
      <c r="N190">
        <v>97330</v>
      </c>
      <c r="O190" t="s">
        <v>1594</v>
      </c>
      <c r="P190" t="s">
        <v>1595</v>
      </c>
      <c r="Q190" t="s">
        <v>1596</v>
      </c>
    </row>
    <row r="191" spans="1:17" x14ac:dyDescent="0.25">
      <c r="A191" s="3" t="str">
        <f t="shared" si="2"/>
        <v>239-Highlights Electrical</v>
      </c>
      <c r="B191" s="3">
        <v>239</v>
      </c>
      <c r="C191" s="3" t="s">
        <v>1597</v>
      </c>
      <c r="D191" s="3" t="s">
        <v>1598</v>
      </c>
      <c r="E191" s="3" t="s">
        <v>1599</v>
      </c>
      <c r="F191" s="3"/>
      <c r="G191" s="3" t="s">
        <v>1600</v>
      </c>
      <c r="H191" s="3" t="s">
        <v>1601</v>
      </c>
      <c r="I191" s="3" t="s">
        <v>277</v>
      </c>
      <c r="J191" s="3" t="s">
        <v>1602</v>
      </c>
      <c r="L191" t="s">
        <v>22</v>
      </c>
      <c r="M191" t="s">
        <v>23</v>
      </c>
      <c r="N191">
        <v>77080</v>
      </c>
      <c r="O191" t="s">
        <v>1603</v>
      </c>
      <c r="P191">
        <v>7136909922</v>
      </c>
      <c r="Q191" t="s">
        <v>1604</v>
      </c>
    </row>
    <row r="192" spans="1:17" x14ac:dyDescent="0.25">
      <c r="A192" s="3" t="str">
        <f t="shared" si="2"/>
        <v>392-Hillhouse Power Solutions, Inc.</v>
      </c>
      <c r="B192" s="3">
        <v>392</v>
      </c>
      <c r="C192" s="3" t="s">
        <v>1605</v>
      </c>
      <c r="D192" s="3" t="s">
        <v>1606</v>
      </c>
      <c r="E192" s="3"/>
      <c r="F192" s="3"/>
      <c r="G192" s="3" t="s">
        <v>1497</v>
      </c>
      <c r="H192" s="3" t="s">
        <v>1607</v>
      </c>
      <c r="I192" s="3" t="s">
        <v>436</v>
      </c>
      <c r="J192" s="3" t="s">
        <v>1608</v>
      </c>
      <c r="L192" t="s">
        <v>1609</v>
      </c>
      <c r="M192" t="s">
        <v>23</v>
      </c>
      <c r="N192">
        <v>76182</v>
      </c>
      <c r="O192" t="s">
        <v>1610</v>
      </c>
      <c r="P192" t="s">
        <v>1611</v>
      </c>
      <c r="Q192" t="s">
        <v>1612</v>
      </c>
    </row>
    <row r="193" spans="1:17" x14ac:dyDescent="0.25">
      <c r="A193" s="3" t="str">
        <f t="shared" si="2"/>
        <v>577-HK Capital Management</v>
      </c>
      <c r="B193" s="3">
        <v>577</v>
      </c>
      <c r="C193" s="3" t="s">
        <v>1613</v>
      </c>
      <c r="D193" s="3" t="s">
        <v>1614</v>
      </c>
      <c r="E193" s="3"/>
      <c r="F193" s="3" t="s">
        <v>1615</v>
      </c>
      <c r="G193" s="3" t="s">
        <v>1616</v>
      </c>
      <c r="H193" s="3" t="s">
        <v>1617</v>
      </c>
      <c r="I193" s="3" t="s">
        <v>1618</v>
      </c>
      <c r="J193" s="3" t="s">
        <v>1619</v>
      </c>
      <c r="K193" t="s">
        <v>1620</v>
      </c>
      <c r="L193" t="s">
        <v>22</v>
      </c>
      <c r="M193" t="s">
        <v>23</v>
      </c>
      <c r="N193">
        <v>77074</v>
      </c>
      <c r="O193">
        <v>7137742354</v>
      </c>
      <c r="Q193" t="s">
        <v>1621</v>
      </c>
    </row>
    <row r="194" spans="1:17" x14ac:dyDescent="0.25">
      <c r="A194" s="3" t="str">
        <f t="shared" ref="A194:A257" si="3">IF(B194="","",B194&amp;"-"&amp;D194)</f>
        <v>252-Hob-Lob, LP</v>
      </c>
      <c r="B194" s="3">
        <v>252</v>
      </c>
      <c r="C194" s="3" t="s">
        <v>1622</v>
      </c>
      <c r="D194" s="3" t="s">
        <v>1623</v>
      </c>
      <c r="E194" s="3"/>
      <c r="F194" s="3"/>
      <c r="G194" s="3" t="s">
        <v>1624</v>
      </c>
      <c r="H194" s="3" t="s">
        <v>1625</v>
      </c>
      <c r="I194" s="3" t="s">
        <v>1626</v>
      </c>
      <c r="J194" s="3" t="s">
        <v>1627</v>
      </c>
      <c r="L194" t="s">
        <v>1628</v>
      </c>
      <c r="M194" t="s">
        <v>1629</v>
      </c>
      <c r="N194">
        <v>73179</v>
      </c>
      <c r="O194" t="s">
        <v>1630</v>
      </c>
      <c r="Q194" t="s">
        <v>1631</v>
      </c>
    </row>
    <row r="195" spans="1:17" x14ac:dyDescent="0.25">
      <c r="A195" s="3" t="str">
        <f t="shared" si="3"/>
        <v>469-Houston Ballet</v>
      </c>
      <c r="B195" s="3">
        <v>469</v>
      </c>
      <c r="C195" s="3" t="s">
        <v>1632</v>
      </c>
      <c r="D195" s="3" t="s">
        <v>1633</v>
      </c>
      <c r="E195" s="3"/>
      <c r="F195" s="3"/>
      <c r="G195" s="3" t="s">
        <v>1634</v>
      </c>
      <c r="H195" s="3" t="s">
        <v>1635</v>
      </c>
      <c r="I195" s="3" t="s">
        <v>68</v>
      </c>
      <c r="J195" s="3" t="s">
        <v>1636</v>
      </c>
      <c r="L195" t="s">
        <v>22</v>
      </c>
      <c r="M195" t="s">
        <v>23</v>
      </c>
      <c r="N195">
        <v>77002</v>
      </c>
      <c r="O195" t="s">
        <v>1637</v>
      </c>
      <c r="Q195" t="s">
        <v>1638</v>
      </c>
    </row>
    <row r="196" spans="1:17" x14ac:dyDescent="0.25">
      <c r="A196" s="3" t="str">
        <f t="shared" si="3"/>
        <v>637-Houston Chronicle Media Group</v>
      </c>
      <c r="B196">
        <v>637</v>
      </c>
      <c r="D196" t="s">
        <v>1639</v>
      </c>
      <c r="G196" t="s">
        <v>1640</v>
      </c>
      <c r="H196" t="s">
        <v>1641</v>
      </c>
      <c r="J196" t="s">
        <v>1642</v>
      </c>
      <c r="L196" t="s">
        <v>22</v>
      </c>
      <c r="M196" t="s">
        <v>23</v>
      </c>
      <c r="N196" s="4" t="s">
        <v>1643</v>
      </c>
      <c r="O196" t="s">
        <v>1644</v>
      </c>
      <c r="Q196" t="s">
        <v>1645</v>
      </c>
    </row>
    <row r="197" spans="1:17" x14ac:dyDescent="0.25">
      <c r="A197" s="3" t="str">
        <f t="shared" si="3"/>
        <v>520-Houston First Corporation</v>
      </c>
      <c r="B197" s="3">
        <v>520</v>
      </c>
      <c r="C197" s="3" t="s">
        <v>1646</v>
      </c>
      <c r="D197" s="3" t="s">
        <v>1647</v>
      </c>
      <c r="E197" s="3"/>
      <c r="F197" s="3"/>
      <c r="G197" s="3" t="s">
        <v>1056</v>
      </c>
      <c r="H197" s="3" t="s">
        <v>1648</v>
      </c>
      <c r="I197" s="3" t="s">
        <v>1649</v>
      </c>
      <c r="J197" s="3" t="s">
        <v>1650</v>
      </c>
      <c r="K197" t="s">
        <v>1651</v>
      </c>
      <c r="L197" t="s">
        <v>22</v>
      </c>
      <c r="M197" t="s">
        <v>23</v>
      </c>
      <c r="N197">
        <v>77010</v>
      </c>
      <c r="O197" t="s">
        <v>1652</v>
      </c>
      <c r="P197" t="s">
        <v>1653</v>
      </c>
      <c r="Q197" t="s">
        <v>1654</v>
      </c>
    </row>
    <row r="198" spans="1:17" x14ac:dyDescent="0.25">
      <c r="A198" s="3" t="str">
        <f t="shared" si="3"/>
        <v>527-Houston Grand Parkway LP</v>
      </c>
      <c r="B198" s="3">
        <v>527</v>
      </c>
      <c r="C198" s="3" t="s">
        <v>1655</v>
      </c>
      <c r="D198" s="3" t="s">
        <v>1656</v>
      </c>
      <c r="E198" s="3"/>
      <c r="F198" s="3"/>
      <c r="G198" s="3" t="s">
        <v>112</v>
      </c>
      <c r="H198" s="3" t="s">
        <v>1657</v>
      </c>
      <c r="I198" s="3" t="s">
        <v>1658</v>
      </c>
      <c r="J198" s="3" t="s">
        <v>1659</v>
      </c>
      <c r="L198" t="s">
        <v>1364</v>
      </c>
      <c r="M198" t="s">
        <v>23</v>
      </c>
      <c r="N198">
        <v>77450</v>
      </c>
      <c r="O198" t="s">
        <v>1660</v>
      </c>
      <c r="Q198" t="s">
        <v>1661</v>
      </c>
    </row>
    <row r="199" spans="1:17" x14ac:dyDescent="0.25">
      <c r="A199" s="3" t="str">
        <f t="shared" si="3"/>
        <v>630-HTS Texas</v>
      </c>
      <c r="B199">
        <v>630</v>
      </c>
      <c r="D199" t="s">
        <v>1662</v>
      </c>
      <c r="G199" t="s">
        <v>1663</v>
      </c>
      <c r="H199" t="s">
        <v>266</v>
      </c>
      <c r="J199" t="s">
        <v>1664</v>
      </c>
      <c r="L199" t="s">
        <v>22</v>
      </c>
      <c r="M199" t="s">
        <v>23</v>
      </c>
      <c r="N199">
        <v>77018</v>
      </c>
      <c r="O199" t="s">
        <v>1665</v>
      </c>
      <c r="Q199" t="s">
        <v>1666</v>
      </c>
    </row>
    <row r="200" spans="1:17" x14ac:dyDescent="0.25">
      <c r="A200" s="3" t="str">
        <f t="shared" si="3"/>
        <v>635-Hunton Trane</v>
      </c>
      <c r="B200">
        <v>635</v>
      </c>
      <c r="D200" t="s">
        <v>1667</v>
      </c>
      <c r="G200" t="s">
        <v>1668</v>
      </c>
      <c r="H200" t="s">
        <v>1669</v>
      </c>
      <c r="J200" t="s">
        <v>843</v>
      </c>
      <c r="L200" t="s">
        <v>22</v>
      </c>
      <c r="M200" t="s">
        <v>23</v>
      </c>
      <c r="N200" s="4" t="s">
        <v>1670</v>
      </c>
      <c r="O200" t="s">
        <v>1671</v>
      </c>
      <c r="Q200" t="s">
        <v>1672</v>
      </c>
    </row>
    <row r="201" spans="1:17" x14ac:dyDescent="0.25">
      <c r="A201" s="3" t="str">
        <f t="shared" si="3"/>
        <v>343-Hunton Trane CSG 2006</v>
      </c>
      <c r="B201" s="3">
        <v>343</v>
      </c>
      <c r="C201" s="3" t="s">
        <v>1673</v>
      </c>
      <c r="D201" s="3" t="s">
        <v>1674</v>
      </c>
      <c r="E201" s="3"/>
      <c r="F201" s="3"/>
      <c r="G201" s="3" t="s">
        <v>703</v>
      </c>
      <c r="H201" s="3" t="s">
        <v>1675</v>
      </c>
      <c r="I201" s="3" t="s">
        <v>1528</v>
      </c>
      <c r="J201" s="3" t="s">
        <v>1676</v>
      </c>
      <c r="L201" t="s">
        <v>22</v>
      </c>
      <c r="M201" t="s">
        <v>23</v>
      </c>
      <c r="N201">
        <v>77042</v>
      </c>
      <c r="O201" t="s">
        <v>1677</v>
      </c>
      <c r="Q201" t="s">
        <v>1678</v>
      </c>
    </row>
    <row r="202" spans="1:17" x14ac:dyDescent="0.25">
      <c r="A202" s="3" t="str">
        <f t="shared" si="3"/>
        <v>244-Hunton Trane Services</v>
      </c>
      <c r="B202" s="3">
        <v>244</v>
      </c>
      <c r="C202" s="3" t="s">
        <v>1679</v>
      </c>
      <c r="D202" s="3" t="s">
        <v>1680</v>
      </c>
      <c r="E202" s="3"/>
      <c r="F202" s="3"/>
      <c r="G202" s="3" t="s">
        <v>1056</v>
      </c>
      <c r="H202" s="3" t="s">
        <v>1681</v>
      </c>
      <c r="I202" s="3" t="s">
        <v>481</v>
      </c>
      <c r="J202" s="3" t="s">
        <v>1682</v>
      </c>
      <c r="L202" t="s">
        <v>22</v>
      </c>
      <c r="M202" t="s">
        <v>23</v>
      </c>
      <c r="N202">
        <v>77087</v>
      </c>
      <c r="O202" t="s">
        <v>1683</v>
      </c>
      <c r="Q202" t="s">
        <v>1684</v>
      </c>
    </row>
    <row r="203" spans="1:17" x14ac:dyDescent="0.25">
      <c r="A203" s="3" t="str">
        <f t="shared" si="3"/>
        <v>307-Hunton Trane Services</v>
      </c>
      <c r="B203" s="3">
        <v>307</v>
      </c>
      <c r="C203" s="3" t="s">
        <v>1685</v>
      </c>
      <c r="D203" s="3" t="s">
        <v>1680</v>
      </c>
      <c r="E203" s="3"/>
      <c r="F203" s="3"/>
      <c r="G203" s="3" t="s">
        <v>1686</v>
      </c>
      <c r="H203" s="3" t="s">
        <v>1687</v>
      </c>
      <c r="I203" s="3" t="s">
        <v>481</v>
      </c>
      <c r="J203" s="3" t="s">
        <v>1682</v>
      </c>
      <c r="L203" t="s">
        <v>22</v>
      </c>
      <c r="M203" t="s">
        <v>23</v>
      </c>
      <c r="N203">
        <v>77087</v>
      </c>
      <c r="O203" t="s">
        <v>1688</v>
      </c>
      <c r="Q203" t="s">
        <v>1689</v>
      </c>
    </row>
    <row r="204" spans="1:17" x14ac:dyDescent="0.25">
      <c r="A204" s="3" t="str">
        <f t="shared" si="3"/>
        <v xml:space="preserve">459-Huper optik usa </v>
      </c>
      <c r="B204" s="3">
        <v>459</v>
      </c>
      <c r="C204" s="3" t="s">
        <v>1690</v>
      </c>
      <c r="D204" s="3" t="s">
        <v>1691</v>
      </c>
      <c r="E204" s="3"/>
      <c r="F204" s="3"/>
      <c r="G204" s="3" t="s">
        <v>1132</v>
      </c>
      <c r="H204" s="3" t="s">
        <v>1133</v>
      </c>
      <c r="I204" s="3" t="s">
        <v>1692</v>
      </c>
      <c r="J204" s="3" t="s">
        <v>1693</v>
      </c>
      <c r="L204" t="s">
        <v>1694</v>
      </c>
      <c r="M204" t="s">
        <v>23</v>
      </c>
      <c r="N204">
        <v>77041</v>
      </c>
      <c r="O204" t="s">
        <v>1695</v>
      </c>
      <c r="P204">
        <v>8324671190</v>
      </c>
      <c r="Q204" t="s">
        <v>1696</v>
      </c>
    </row>
    <row r="205" spans="1:17" x14ac:dyDescent="0.25">
      <c r="A205" s="3" t="str">
        <f t="shared" si="3"/>
        <v>423-I. A. Naman + Associates, Inc.</v>
      </c>
      <c r="B205" s="3">
        <v>423</v>
      </c>
      <c r="C205" s="3" t="s">
        <v>1697</v>
      </c>
      <c r="D205" s="3" t="s">
        <v>1698</v>
      </c>
      <c r="E205" s="3"/>
      <c r="F205" s="3"/>
      <c r="G205" s="3" t="s">
        <v>1510</v>
      </c>
      <c r="H205" s="3" t="s">
        <v>1699</v>
      </c>
      <c r="I205" s="3" t="s">
        <v>436</v>
      </c>
      <c r="J205" s="3" t="s">
        <v>1700</v>
      </c>
      <c r="L205" t="s">
        <v>22</v>
      </c>
      <c r="M205" t="s">
        <v>23</v>
      </c>
      <c r="N205">
        <v>77046</v>
      </c>
      <c r="O205" t="s">
        <v>1701</v>
      </c>
      <c r="P205" t="s">
        <v>1702</v>
      </c>
      <c r="Q205" t="s">
        <v>1703</v>
      </c>
    </row>
    <row r="206" spans="1:17" x14ac:dyDescent="0.25">
      <c r="A206" s="3" t="str">
        <f t="shared" si="3"/>
        <v>224-I-45 N. Professional Bldg.</v>
      </c>
      <c r="B206" s="3">
        <v>224</v>
      </c>
      <c r="C206" s="3" t="s">
        <v>1704</v>
      </c>
      <c r="D206" s="3" t="s">
        <v>1705</v>
      </c>
      <c r="E206" s="3" t="s">
        <v>1706</v>
      </c>
      <c r="F206" s="3" t="s">
        <v>1704</v>
      </c>
      <c r="G206" s="3" t="s">
        <v>1707</v>
      </c>
      <c r="H206" s="3" t="s">
        <v>1708</v>
      </c>
      <c r="I206" s="3" t="s">
        <v>1709</v>
      </c>
      <c r="J206" s="3" t="s">
        <v>1710</v>
      </c>
      <c r="L206" t="s">
        <v>22</v>
      </c>
      <c r="M206" t="s">
        <v>23</v>
      </c>
      <c r="N206">
        <v>77022</v>
      </c>
      <c r="O206" t="s">
        <v>1711</v>
      </c>
      <c r="P206" t="s">
        <v>1712</v>
      </c>
      <c r="Q206" t="s">
        <v>1713</v>
      </c>
    </row>
    <row r="207" spans="1:17" x14ac:dyDescent="0.25">
      <c r="A207" s="3" t="str">
        <f t="shared" si="3"/>
        <v>462-ILLUMETEK CORP</v>
      </c>
      <c r="B207" s="3">
        <v>462</v>
      </c>
      <c r="C207" s="3" t="s">
        <v>1714</v>
      </c>
      <c r="D207" s="3" t="s">
        <v>1715</v>
      </c>
      <c r="E207" s="3"/>
      <c r="F207" s="3"/>
      <c r="G207" s="3" t="s">
        <v>1716</v>
      </c>
      <c r="H207" s="3" t="s">
        <v>1717</v>
      </c>
      <c r="I207" s="3" t="s">
        <v>1718</v>
      </c>
      <c r="J207" s="3" t="s">
        <v>1719</v>
      </c>
      <c r="L207" t="s">
        <v>1720</v>
      </c>
      <c r="M207" t="s">
        <v>1002</v>
      </c>
      <c r="N207">
        <v>44223</v>
      </c>
      <c r="O207" t="s">
        <v>1721</v>
      </c>
      <c r="P207" t="s">
        <v>1722</v>
      </c>
      <c r="Q207" t="s">
        <v>1723</v>
      </c>
    </row>
    <row r="208" spans="1:17" x14ac:dyDescent="0.25">
      <c r="A208" s="3" t="str">
        <f t="shared" si="3"/>
        <v>621-Imperial Utilities &amp; Sustainability, Inc</v>
      </c>
      <c r="B208" s="3">
        <v>621</v>
      </c>
      <c r="C208" s="3" t="s">
        <v>1724</v>
      </c>
      <c r="D208" s="3" t="s">
        <v>1725</v>
      </c>
      <c r="E208" s="3"/>
      <c r="F208" s="3"/>
      <c r="G208" s="3" t="s">
        <v>1726</v>
      </c>
      <c r="H208" s="3" t="s">
        <v>1727</v>
      </c>
      <c r="I208" s="3" t="s">
        <v>1728</v>
      </c>
      <c r="J208" s="5" t="s">
        <v>1729</v>
      </c>
      <c r="L208" t="s">
        <v>22</v>
      </c>
      <c r="M208" t="s">
        <v>23</v>
      </c>
      <c r="N208">
        <v>77096</v>
      </c>
      <c r="O208" t="s">
        <v>1730</v>
      </c>
      <c r="Q208" t="s">
        <v>1731</v>
      </c>
    </row>
    <row r="209" spans="1:17" x14ac:dyDescent="0.25">
      <c r="A209" s="3" t="str">
        <f t="shared" si="3"/>
        <v xml:space="preserve">353-ING Clarion </v>
      </c>
      <c r="B209" s="3">
        <v>353</v>
      </c>
      <c r="C209" s="3" t="s">
        <v>1732</v>
      </c>
      <c r="D209" s="3" t="s">
        <v>1733</v>
      </c>
      <c r="E209" s="3"/>
      <c r="F209" s="3"/>
      <c r="G209" s="3" t="s">
        <v>773</v>
      </c>
      <c r="H209" s="3" t="s">
        <v>806</v>
      </c>
      <c r="I209" s="3" t="s">
        <v>571</v>
      </c>
      <c r="J209" s="3" t="s">
        <v>1734</v>
      </c>
      <c r="K209" t="s">
        <v>1735</v>
      </c>
      <c r="L209" t="s">
        <v>1736</v>
      </c>
      <c r="M209" t="s">
        <v>198</v>
      </c>
      <c r="N209">
        <v>19103</v>
      </c>
      <c r="O209" t="s">
        <v>1737</v>
      </c>
      <c r="P209" t="s">
        <v>1738</v>
      </c>
      <c r="Q209" t="s">
        <v>1739</v>
      </c>
    </row>
    <row r="210" spans="1:17" x14ac:dyDescent="0.25">
      <c r="A210" s="3" t="str">
        <f t="shared" si="3"/>
        <v>254-Innovative Performance Contracting, Inc</v>
      </c>
      <c r="B210" s="3">
        <v>254</v>
      </c>
      <c r="C210" s="3" t="s">
        <v>1740</v>
      </c>
      <c r="D210" s="3" t="s">
        <v>1741</v>
      </c>
      <c r="E210" s="3"/>
      <c r="F210" s="3"/>
      <c r="G210" s="3" t="s">
        <v>1742</v>
      </c>
      <c r="H210" s="3" t="s">
        <v>1743</v>
      </c>
      <c r="I210" s="3" t="s">
        <v>1744</v>
      </c>
      <c r="J210" s="3" t="s">
        <v>1745</v>
      </c>
      <c r="K210" t="s">
        <v>1746</v>
      </c>
      <c r="L210" t="s">
        <v>439</v>
      </c>
      <c r="M210" t="s">
        <v>23</v>
      </c>
      <c r="N210">
        <v>75287</v>
      </c>
      <c r="O210" t="s">
        <v>1747</v>
      </c>
      <c r="P210" t="s">
        <v>1748</v>
      </c>
      <c r="Q210" t="s">
        <v>1749</v>
      </c>
    </row>
    <row r="211" spans="1:17" x14ac:dyDescent="0.25">
      <c r="A211" s="3" t="str">
        <f t="shared" si="3"/>
        <v>454-Innovative Power Solutions, LLC</v>
      </c>
      <c r="B211" s="3">
        <v>454</v>
      </c>
      <c r="C211" s="3" t="s">
        <v>1750</v>
      </c>
      <c r="D211" s="3" t="s">
        <v>1751</v>
      </c>
      <c r="E211" s="3"/>
      <c r="F211" s="3"/>
      <c r="G211" s="3" t="s">
        <v>1752</v>
      </c>
      <c r="H211" s="3" t="s">
        <v>1753</v>
      </c>
      <c r="I211" s="3" t="s">
        <v>78</v>
      </c>
      <c r="J211" s="3" t="s">
        <v>1754</v>
      </c>
      <c r="L211" t="s">
        <v>1755</v>
      </c>
      <c r="M211" t="s">
        <v>1756</v>
      </c>
      <c r="N211">
        <v>72113</v>
      </c>
      <c r="O211" t="s">
        <v>1757</v>
      </c>
      <c r="P211" t="s">
        <v>1758</v>
      </c>
      <c r="Q211" t="s">
        <v>1759</v>
      </c>
    </row>
    <row r="212" spans="1:17" x14ac:dyDescent="0.25">
      <c r="A212" s="3" t="str">
        <f t="shared" si="3"/>
        <v>476-INTEC Controls</v>
      </c>
      <c r="B212" s="3">
        <v>476</v>
      </c>
      <c r="C212" s="3" t="s">
        <v>1760</v>
      </c>
      <c r="D212" s="3" t="s">
        <v>1761</v>
      </c>
      <c r="E212" s="3" t="s">
        <v>1762</v>
      </c>
      <c r="F212" s="3" t="s">
        <v>1763</v>
      </c>
      <c r="G212" s="3" t="s">
        <v>1056</v>
      </c>
      <c r="H212" s="3" t="s">
        <v>1764</v>
      </c>
      <c r="I212" s="3" t="s">
        <v>1765</v>
      </c>
      <c r="J212" s="3" t="s">
        <v>1766</v>
      </c>
      <c r="L212" t="s">
        <v>1767</v>
      </c>
      <c r="M212" t="s">
        <v>23</v>
      </c>
      <c r="N212">
        <v>77478</v>
      </c>
      <c r="O212" t="s">
        <v>1768</v>
      </c>
      <c r="Q212" t="s">
        <v>1769</v>
      </c>
    </row>
    <row r="213" spans="1:17" x14ac:dyDescent="0.25">
      <c r="A213" s="3" t="str">
        <f t="shared" si="3"/>
        <v>455-Internap Network Services Corporation</v>
      </c>
      <c r="B213" s="3">
        <v>455</v>
      </c>
      <c r="C213" s="3" t="s">
        <v>1770</v>
      </c>
      <c r="D213" s="3" t="s">
        <v>1771</v>
      </c>
      <c r="E213" s="3"/>
      <c r="F213" s="3"/>
      <c r="G213" s="3" t="s">
        <v>1056</v>
      </c>
      <c r="H213" s="3" t="s">
        <v>1772</v>
      </c>
      <c r="I213" s="3" t="s">
        <v>1773</v>
      </c>
      <c r="J213" s="3" t="s">
        <v>1774</v>
      </c>
      <c r="L213" t="s">
        <v>1775</v>
      </c>
      <c r="M213" t="s">
        <v>198</v>
      </c>
      <c r="N213">
        <v>15090</v>
      </c>
      <c r="O213" t="s">
        <v>1776</v>
      </c>
      <c r="Q213" t="s">
        <v>1777</v>
      </c>
    </row>
    <row r="214" spans="1:17" x14ac:dyDescent="0.25">
      <c r="A214" s="3" t="str">
        <f t="shared" si="3"/>
        <v>332-IT'Z Texas, L. P.</v>
      </c>
      <c r="B214" s="3">
        <v>332</v>
      </c>
      <c r="C214" s="3" t="s">
        <v>1778</v>
      </c>
      <c r="D214" s="3" t="s">
        <v>1779</v>
      </c>
      <c r="E214" s="3"/>
      <c r="F214" s="3"/>
      <c r="G214" s="3" t="s">
        <v>1780</v>
      </c>
      <c r="H214" s="3" t="s">
        <v>1781</v>
      </c>
      <c r="I214" s="3" t="s">
        <v>68</v>
      </c>
      <c r="J214" s="3" t="s">
        <v>1735</v>
      </c>
      <c r="L214" t="s">
        <v>1736</v>
      </c>
      <c r="M214" t="s">
        <v>198</v>
      </c>
      <c r="N214">
        <v>19103</v>
      </c>
      <c r="O214" t="s">
        <v>1737</v>
      </c>
      <c r="Q214" t="s">
        <v>1782</v>
      </c>
    </row>
    <row r="215" spans="1:17" x14ac:dyDescent="0.25">
      <c r="A215" s="3" t="str">
        <f t="shared" si="3"/>
        <v>259-J L Wood Electric Co Inc</v>
      </c>
      <c r="B215" s="3">
        <v>259</v>
      </c>
      <c r="C215" s="3" t="s">
        <v>1783</v>
      </c>
      <c r="D215" s="3" t="s">
        <v>1784</v>
      </c>
      <c r="E215" s="3"/>
      <c r="F215" s="3"/>
      <c r="G215" s="3" t="s">
        <v>1785</v>
      </c>
      <c r="H215" s="3" t="s">
        <v>1641</v>
      </c>
      <c r="I215" s="3" t="s">
        <v>436</v>
      </c>
      <c r="J215" s="3" t="s">
        <v>1786</v>
      </c>
      <c r="L215" t="s">
        <v>22</v>
      </c>
      <c r="M215" t="s">
        <v>23</v>
      </c>
      <c r="N215">
        <v>77091</v>
      </c>
      <c r="O215" t="s">
        <v>1787</v>
      </c>
      <c r="P215" t="s">
        <v>1788</v>
      </c>
      <c r="Q215" t="s">
        <v>1789</v>
      </c>
    </row>
    <row r="216" spans="1:17" x14ac:dyDescent="0.25">
      <c r="A216" s="3" t="str">
        <f t="shared" si="3"/>
        <v>553-J&amp;V ELECTRIC COMPANY</v>
      </c>
      <c r="B216" s="3">
        <v>553</v>
      </c>
      <c r="C216" s="3" t="s">
        <v>1790</v>
      </c>
      <c r="D216" s="3" t="s">
        <v>1791</v>
      </c>
      <c r="E216" s="3"/>
      <c r="F216" s="3" t="s">
        <v>1792</v>
      </c>
      <c r="G216" s="3" t="s">
        <v>1793</v>
      </c>
      <c r="H216" s="3" t="s">
        <v>1794</v>
      </c>
      <c r="I216" s="3" t="s">
        <v>1795</v>
      </c>
      <c r="J216" s="3" t="s">
        <v>1796</v>
      </c>
      <c r="L216" t="s">
        <v>22</v>
      </c>
      <c r="M216" t="s">
        <v>23</v>
      </c>
      <c r="N216">
        <v>77032</v>
      </c>
      <c r="O216">
        <v>2815904313</v>
      </c>
      <c r="P216">
        <v>2812194776</v>
      </c>
      <c r="Q216" t="s">
        <v>1797</v>
      </c>
    </row>
    <row r="217" spans="1:17" x14ac:dyDescent="0.25">
      <c r="A217" s="3" t="str">
        <f t="shared" si="3"/>
        <v>328-J. C. Penney Corporation, Inc.</v>
      </c>
      <c r="B217" s="3">
        <v>328</v>
      </c>
      <c r="C217" s="3" t="s">
        <v>1798</v>
      </c>
      <c r="D217" s="3" t="s">
        <v>1799</v>
      </c>
      <c r="E217" s="3"/>
      <c r="F217" s="3"/>
      <c r="G217" s="3" t="s">
        <v>1780</v>
      </c>
      <c r="H217" s="3" t="s">
        <v>1781</v>
      </c>
      <c r="I217" s="3" t="s">
        <v>68</v>
      </c>
      <c r="J217" s="3" t="s">
        <v>1735</v>
      </c>
      <c r="L217" t="s">
        <v>1736</v>
      </c>
      <c r="M217" t="s">
        <v>198</v>
      </c>
      <c r="N217">
        <v>19103</v>
      </c>
      <c r="O217" t="s">
        <v>1737</v>
      </c>
      <c r="Q217" t="s">
        <v>1782</v>
      </c>
    </row>
    <row r="218" spans="1:17" x14ac:dyDescent="0.25">
      <c r="A218" s="3" t="str">
        <f t="shared" si="3"/>
        <v>365-Jacob White Construction Company</v>
      </c>
      <c r="B218" s="3">
        <v>365</v>
      </c>
      <c r="C218" s="3" t="s">
        <v>1800</v>
      </c>
      <c r="D218" s="3" t="s">
        <v>1801</v>
      </c>
      <c r="E218" s="3"/>
      <c r="F218" s="3"/>
      <c r="G218" s="3" t="s">
        <v>793</v>
      </c>
      <c r="H218" s="3" t="s">
        <v>1802</v>
      </c>
      <c r="I218" s="3" t="s">
        <v>552</v>
      </c>
      <c r="J218" s="3" t="s">
        <v>1803</v>
      </c>
      <c r="K218" t="s">
        <v>270</v>
      </c>
      <c r="L218" t="s">
        <v>1804</v>
      </c>
      <c r="M218" t="s">
        <v>23</v>
      </c>
      <c r="N218">
        <v>77546</v>
      </c>
      <c r="O218" t="s">
        <v>1805</v>
      </c>
      <c r="P218" t="s">
        <v>1806</v>
      </c>
      <c r="Q218" t="s">
        <v>1807</v>
      </c>
    </row>
    <row r="219" spans="1:17" x14ac:dyDescent="0.25">
      <c r="A219" s="3" t="str">
        <f t="shared" si="3"/>
        <v>612-Jake Marshall Service Inc</v>
      </c>
      <c r="B219" s="3">
        <v>612</v>
      </c>
      <c r="C219" s="3" t="s">
        <v>1808</v>
      </c>
      <c r="D219" s="3" t="s">
        <v>1809</v>
      </c>
      <c r="E219" s="3"/>
      <c r="F219" s="3"/>
      <c r="G219" s="3" t="s">
        <v>1810</v>
      </c>
      <c r="H219" s="3" t="s">
        <v>1811</v>
      </c>
      <c r="I219" s="3" t="s">
        <v>1812</v>
      </c>
      <c r="J219" s="3" t="s">
        <v>1813</v>
      </c>
      <c r="L219" t="s">
        <v>1814</v>
      </c>
      <c r="M219" t="s">
        <v>1295</v>
      </c>
      <c r="N219">
        <v>37405</v>
      </c>
      <c r="O219" t="s">
        <v>1815</v>
      </c>
      <c r="Q219" t="s">
        <v>1816</v>
      </c>
    </row>
    <row r="220" spans="1:17" x14ac:dyDescent="0.25">
      <c r="A220" s="3" t="str">
        <f t="shared" si="3"/>
        <v>483-JBI Electrical Systems Inc.</v>
      </c>
      <c r="B220" s="3">
        <v>483</v>
      </c>
      <c r="C220" s="3" t="s">
        <v>1817</v>
      </c>
      <c r="D220" s="3" t="s">
        <v>1818</v>
      </c>
      <c r="E220" s="3"/>
      <c r="F220" s="3"/>
      <c r="G220" s="3" t="s">
        <v>472</v>
      </c>
      <c r="H220" s="3" t="s">
        <v>1819</v>
      </c>
      <c r="I220" s="3" t="s">
        <v>507</v>
      </c>
      <c r="J220" s="3" t="s">
        <v>1820</v>
      </c>
      <c r="L220" t="s">
        <v>466</v>
      </c>
      <c r="M220" t="s">
        <v>23</v>
      </c>
      <c r="N220">
        <v>76137</v>
      </c>
      <c r="O220" t="s">
        <v>1821</v>
      </c>
      <c r="P220">
        <v>8172894134</v>
      </c>
      <c r="Q220" t="s">
        <v>1822</v>
      </c>
    </row>
    <row r="221" spans="1:17" x14ac:dyDescent="0.25">
      <c r="A221" s="3" t="str">
        <f t="shared" si="3"/>
        <v>532-JDM Associates</v>
      </c>
      <c r="B221" s="3">
        <v>532</v>
      </c>
      <c r="C221" s="3" t="s">
        <v>1823</v>
      </c>
      <c r="D221" s="3" t="s">
        <v>1824</v>
      </c>
      <c r="E221" s="3"/>
      <c r="F221" s="3" t="s">
        <v>1825</v>
      </c>
      <c r="G221" s="3" t="s">
        <v>1826</v>
      </c>
      <c r="H221" s="3" t="s">
        <v>1827</v>
      </c>
      <c r="I221" s="3" t="s">
        <v>1828</v>
      </c>
      <c r="J221" s="3" t="s">
        <v>1829</v>
      </c>
      <c r="K221" t="s">
        <v>1830</v>
      </c>
      <c r="L221" t="s">
        <v>1095</v>
      </c>
      <c r="M221" t="s">
        <v>688</v>
      </c>
      <c r="N221">
        <v>22046</v>
      </c>
      <c r="O221" t="s">
        <v>1831</v>
      </c>
      <c r="Q221" t="s">
        <v>1832</v>
      </c>
    </row>
    <row r="222" spans="1:17" x14ac:dyDescent="0.25">
      <c r="A222" s="3" t="str">
        <f t="shared" si="3"/>
        <v xml:space="preserve">599-Jim Whitten Roof Consultants, LLCM </v>
      </c>
      <c r="B222" s="3">
        <v>599</v>
      </c>
      <c r="C222" s="3" t="s">
        <v>1833</v>
      </c>
      <c r="D222" s="3" t="s">
        <v>1834</v>
      </c>
      <c r="E222" s="3"/>
      <c r="F222" s="3"/>
      <c r="G222" s="3" t="s">
        <v>531</v>
      </c>
      <c r="H222" s="3" t="s">
        <v>1835</v>
      </c>
      <c r="I222" s="3" t="s">
        <v>436</v>
      </c>
      <c r="J222" s="3" t="s">
        <v>1836</v>
      </c>
      <c r="L222" t="s">
        <v>165</v>
      </c>
      <c r="M222" t="s">
        <v>23</v>
      </c>
      <c r="N222">
        <v>78729</v>
      </c>
      <c r="O222" t="s">
        <v>1837</v>
      </c>
      <c r="P222" t="s">
        <v>1838</v>
      </c>
      <c r="Q222" t="s">
        <v>1839</v>
      </c>
    </row>
    <row r="223" spans="1:17" x14ac:dyDescent="0.25">
      <c r="A223" s="3" t="str">
        <f t="shared" si="3"/>
        <v>596-K &amp; L Facility Advisors, LLC</v>
      </c>
      <c r="B223" s="3">
        <v>596</v>
      </c>
      <c r="C223" s="3" t="s">
        <v>1840</v>
      </c>
      <c r="D223" s="3" t="s">
        <v>1841</v>
      </c>
      <c r="E223" s="3"/>
      <c r="F223" s="3"/>
      <c r="G223" s="3" t="s">
        <v>1842</v>
      </c>
      <c r="H223" s="3" t="s">
        <v>1843</v>
      </c>
      <c r="I223" s="3" t="s">
        <v>114</v>
      </c>
      <c r="J223" s="3" t="s">
        <v>1844</v>
      </c>
      <c r="L223" t="s">
        <v>1364</v>
      </c>
      <c r="M223" t="s">
        <v>23</v>
      </c>
      <c r="N223">
        <v>77450</v>
      </c>
      <c r="O223" t="s">
        <v>1845</v>
      </c>
      <c r="Q223" t="s">
        <v>1846</v>
      </c>
    </row>
    <row r="224" spans="1:17" x14ac:dyDescent="0.25">
      <c r="A224" s="3" t="str">
        <f t="shared" si="3"/>
        <v>290-KATOEN NATIE GULF COAST INC.</v>
      </c>
      <c r="B224" s="3">
        <v>290</v>
      </c>
      <c r="C224" s="3" t="s">
        <v>1847</v>
      </c>
      <c r="D224" s="3" t="s">
        <v>1848</v>
      </c>
      <c r="E224" s="3"/>
      <c r="F224" s="3"/>
      <c r="G224" s="3" t="s">
        <v>1849</v>
      </c>
      <c r="H224" s="3" t="s">
        <v>1850</v>
      </c>
      <c r="I224" s="3" t="s">
        <v>1851</v>
      </c>
      <c r="J224" s="3" t="s">
        <v>1852</v>
      </c>
      <c r="L224" t="s">
        <v>1853</v>
      </c>
      <c r="M224" t="s">
        <v>23</v>
      </c>
      <c r="N224">
        <v>77572</v>
      </c>
      <c r="O224" t="s">
        <v>1854</v>
      </c>
      <c r="Q224" t="s">
        <v>1855</v>
      </c>
    </row>
    <row r="225" spans="1:17" x14ac:dyDescent="0.25">
      <c r="A225" s="3" t="str">
        <f t="shared" si="3"/>
        <v>582-Kim Neal &amp; Associates, LLC</v>
      </c>
      <c r="B225" s="3">
        <v>582</v>
      </c>
      <c r="C225" s="3" t="s">
        <v>1856</v>
      </c>
      <c r="D225" s="3" t="s">
        <v>1857</v>
      </c>
      <c r="E225" s="3"/>
      <c r="F225" s="3"/>
      <c r="G225" s="3" t="s">
        <v>1858</v>
      </c>
      <c r="H225" s="3" t="s">
        <v>1859</v>
      </c>
      <c r="I225" s="3" t="s">
        <v>1860</v>
      </c>
      <c r="J225" s="3" t="s">
        <v>1861</v>
      </c>
      <c r="L225" t="s">
        <v>1862</v>
      </c>
      <c r="M225" t="s">
        <v>23</v>
      </c>
      <c r="N225">
        <v>75035</v>
      </c>
      <c r="O225" t="s">
        <v>1863</v>
      </c>
      <c r="P225" t="s">
        <v>1864</v>
      </c>
      <c r="Q225" t="s">
        <v>1865</v>
      </c>
    </row>
    <row r="226" spans="1:17" x14ac:dyDescent="0.25">
      <c r="A226" s="3" t="str">
        <f t="shared" si="3"/>
        <v>606-Kingsgate Energy</v>
      </c>
      <c r="B226" s="3">
        <v>606</v>
      </c>
      <c r="C226" s="3" t="s">
        <v>1866</v>
      </c>
      <c r="D226" s="3" t="s">
        <v>1867</v>
      </c>
      <c r="E226" s="3"/>
      <c r="F226" s="3"/>
      <c r="G226" s="3" t="s">
        <v>1868</v>
      </c>
      <c r="H226" s="3" t="s">
        <v>1753</v>
      </c>
      <c r="I226" s="3" t="s">
        <v>1869</v>
      </c>
      <c r="J226" s="3" t="s">
        <v>1870</v>
      </c>
      <c r="L226" t="s">
        <v>466</v>
      </c>
      <c r="M226" t="s">
        <v>23</v>
      </c>
      <c r="N226">
        <v>76109</v>
      </c>
      <c r="O226" t="s">
        <v>1871</v>
      </c>
      <c r="Q226" t="s">
        <v>1872</v>
      </c>
    </row>
    <row r="227" spans="1:17" x14ac:dyDescent="0.25">
      <c r="A227" s="3" t="str">
        <f t="shared" si="3"/>
        <v>501-KirEnergy Services LLC</v>
      </c>
      <c r="B227" s="3">
        <v>501</v>
      </c>
      <c r="C227" s="3" t="s">
        <v>1873</v>
      </c>
      <c r="D227" s="3" t="s">
        <v>1874</v>
      </c>
      <c r="E227" s="3"/>
      <c r="F227" s="3"/>
      <c r="G227" s="3" t="s">
        <v>1497</v>
      </c>
      <c r="H227" s="3" t="s">
        <v>1875</v>
      </c>
      <c r="I227" s="3" t="s">
        <v>436</v>
      </c>
      <c r="J227" s="3" t="s">
        <v>1876</v>
      </c>
      <c r="L227" t="s">
        <v>1877</v>
      </c>
      <c r="M227" t="s">
        <v>23</v>
      </c>
      <c r="N227">
        <v>75070</v>
      </c>
      <c r="O227" t="s">
        <v>1878</v>
      </c>
      <c r="P227" t="s">
        <v>1879</v>
      </c>
      <c r="Q227" t="s">
        <v>1880</v>
      </c>
    </row>
    <row r="228" spans="1:17" x14ac:dyDescent="0.25">
      <c r="A228" s="3" t="str">
        <f t="shared" si="3"/>
        <v>385-KIRKSEY</v>
      </c>
      <c r="B228" s="3">
        <v>385</v>
      </c>
      <c r="C228" s="3" t="s">
        <v>1881</v>
      </c>
      <c r="D228" s="3" t="s">
        <v>1882</v>
      </c>
      <c r="E228" s="3" t="s">
        <v>1882</v>
      </c>
      <c r="F228" s="3" t="s">
        <v>1881</v>
      </c>
      <c r="G228" s="3" t="s">
        <v>1883</v>
      </c>
      <c r="H228" s="3" t="s">
        <v>1884</v>
      </c>
      <c r="I228" s="3" t="s">
        <v>1885</v>
      </c>
      <c r="J228" s="3" t="s">
        <v>1886</v>
      </c>
      <c r="L228" t="s">
        <v>88</v>
      </c>
      <c r="M228" t="s">
        <v>23</v>
      </c>
      <c r="N228">
        <v>77024</v>
      </c>
      <c r="O228" t="s">
        <v>1887</v>
      </c>
      <c r="P228">
        <v>7138507308</v>
      </c>
      <c r="Q228" t="s">
        <v>1888</v>
      </c>
    </row>
    <row r="229" spans="1:17" x14ac:dyDescent="0.25">
      <c r="A229" s="3" t="str">
        <f t="shared" si="3"/>
        <v>291-Klein Independent School District</v>
      </c>
      <c r="B229" s="3">
        <v>291</v>
      </c>
      <c r="C229" s="3" t="s">
        <v>1889</v>
      </c>
      <c r="D229" s="3" t="s">
        <v>1890</v>
      </c>
      <c r="E229" s="3"/>
      <c r="F229" s="3"/>
      <c r="G229" s="3" t="s">
        <v>359</v>
      </c>
      <c r="H229" s="3" t="s">
        <v>1891</v>
      </c>
      <c r="I229" s="3" t="s">
        <v>652</v>
      </c>
      <c r="J229" s="3" t="s">
        <v>1892</v>
      </c>
      <c r="L229" t="s">
        <v>605</v>
      </c>
      <c r="M229" t="s">
        <v>23</v>
      </c>
      <c r="N229">
        <v>77379</v>
      </c>
      <c r="O229" t="s">
        <v>1893</v>
      </c>
      <c r="Q229" t="s">
        <v>1894</v>
      </c>
    </row>
    <row r="230" spans="1:17" x14ac:dyDescent="0.25">
      <c r="A230" s="3" t="str">
        <f t="shared" si="3"/>
        <v>337-Kroger</v>
      </c>
      <c r="B230" s="3">
        <v>337</v>
      </c>
      <c r="C230" s="3" t="s">
        <v>1895</v>
      </c>
      <c r="D230" s="3" t="s">
        <v>1896</v>
      </c>
      <c r="E230" s="3"/>
      <c r="F230" s="3"/>
      <c r="G230" s="3" t="s">
        <v>1897</v>
      </c>
      <c r="H230" s="3" t="s">
        <v>1898</v>
      </c>
      <c r="I230" s="3" t="s">
        <v>68</v>
      </c>
      <c r="J230" s="3" t="s">
        <v>1899</v>
      </c>
      <c r="L230" t="s">
        <v>535</v>
      </c>
      <c r="M230" t="s">
        <v>536</v>
      </c>
      <c r="N230">
        <v>40223</v>
      </c>
      <c r="O230" t="s">
        <v>1900</v>
      </c>
      <c r="P230" t="s">
        <v>1901</v>
      </c>
      <c r="Q230" t="s">
        <v>1902</v>
      </c>
    </row>
    <row r="231" spans="1:17" x14ac:dyDescent="0.25">
      <c r="A231" s="3" t="str">
        <f t="shared" si="3"/>
        <v>345-Kroger</v>
      </c>
      <c r="B231" s="3">
        <v>345</v>
      </c>
      <c r="C231" s="3" t="s">
        <v>1903</v>
      </c>
      <c r="D231" s="3" t="s">
        <v>1896</v>
      </c>
      <c r="E231" s="3"/>
      <c r="F231" s="3"/>
      <c r="G231" s="3" t="s">
        <v>1904</v>
      </c>
      <c r="H231" s="3" t="s">
        <v>1905</v>
      </c>
      <c r="I231" s="3" t="s">
        <v>1906</v>
      </c>
      <c r="J231" s="3" t="s">
        <v>1907</v>
      </c>
      <c r="L231" t="s">
        <v>535</v>
      </c>
      <c r="M231" t="s">
        <v>536</v>
      </c>
      <c r="N231">
        <v>40223</v>
      </c>
      <c r="O231" t="s">
        <v>537</v>
      </c>
      <c r="P231" t="s">
        <v>538</v>
      </c>
      <c r="Q231" t="s">
        <v>1908</v>
      </c>
    </row>
    <row r="232" spans="1:17" x14ac:dyDescent="0.25">
      <c r="A232" s="3" t="str">
        <f t="shared" si="3"/>
        <v>461-Kroger</v>
      </c>
      <c r="B232" s="3">
        <v>461</v>
      </c>
      <c r="C232" s="3" t="s">
        <v>1909</v>
      </c>
      <c r="D232" s="3" t="s">
        <v>1896</v>
      </c>
      <c r="E232" s="3" t="s">
        <v>1910</v>
      </c>
      <c r="F232" s="3" t="s">
        <v>1909</v>
      </c>
      <c r="G232" s="3" t="s">
        <v>1911</v>
      </c>
      <c r="H232" s="3" t="s">
        <v>1912</v>
      </c>
      <c r="I232" s="3" t="s">
        <v>1913</v>
      </c>
      <c r="J232" s="3" t="s">
        <v>1914</v>
      </c>
      <c r="L232" t="s">
        <v>1001</v>
      </c>
      <c r="M232" t="s">
        <v>1002</v>
      </c>
      <c r="N232">
        <v>45202</v>
      </c>
      <c r="O232" t="s">
        <v>1915</v>
      </c>
      <c r="P232" t="s">
        <v>1916</v>
      </c>
      <c r="Q232" t="s">
        <v>1917</v>
      </c>
    </row>
    <row r="233" spans="1:17" x14ac:dyDescent="0.25">
      <c r="A233" s="3" t="str">
        <f t="shared" si="3"/>
        <v>460-L&amp;G Energy Solutions</v>
      </c>
      <c r="B233" s="3">
        <v>460</v>
      </c>
      <c r="C233" s="3" t="s">
        <v>1918</v>
      </c>
      <c r="D233" s="3" t="s">
        <v>1919</v>
      </c>
      <c r="E233" s="3"/>
      <c r="F233" s="3"/>
      <c r="G233" s="3" t="s">
        <v>1920</v>
      </c>
      <c r="H233" s="3" t="s">
        <v>1921</v>
      </c>
      <c r="I233" s="3" t="s">
        <v>825</v>
      </c>
      <c r="J233" s="3" t="s">
        <v>1922</v>
      </c>
      <c r="L233" t="s">
        <v>1923</v>
      </c>
      <c r="M233" t="s">
        <v>23</v>
      </c>
      <c r="N233">
        <v>78664</v>
      </c>
      <c r="O233" t="s">
        <v>1924</v>
      </c>
      <c r="Q233" t="s">
        <v>1925</v>
      </c>
    </row>
    <row r="234" spans="1:17" x14ac:dyDescent="0.25">
      <c r="A234" s="3" t="str">
        <f t="shared" si="3"/>
        <v>611-Landmark Industries</v>
      </c>
      <c r="B234" s="3">
        <v>611</v>
      </c>
      <c r="C234" s="3" t="s">
        <v>1926</v>
      </c>
      <c r="D234" s="3" t="s">
        <v>1927</v>
      </c>
      <c r="E234" s="3"/>
      <c r="F234" s="3"/>
      <c r="G234" s="3" t="s">
        <v>1497</v>
      </c>
      <c r="H234" s="3" t="s">
        <v>1928</v>
      </c>
      <c r="I234" s="3" t="s">
        <v>68</v>
      </c>
      <c r="J234" s="3" t="s">
        <v>1929</v>
      </c>
      <c r="L234" t="s">
        <v>22</v>
      </c>
      <c r="M234" t="s">
        <v>23</v>
      </c>
      <c r="N234">
        <v>77042</v>
      </c>
      <c r="O234" t="s">
        <v>1930</v>
      </c>
      <c r="P234" t="s">
        <v>1931</v>
      </c>
      <c r="Q234" t="s">
        <v>1932</v>
      </c>
    </row>
    <row r="235" spans="1:17" x14ac:dyDescent="0.25">
      <c r="A235" s="3" t="str">
        <f t="shared" si="3"/>
        <v>311-Lange Mechanical Services, LP</v>
      </c>
      <c r="B235" s="3">
        <v>311</v>
      </c>
      <c r="C235" s="3" t="s">
        <v>1933</v>
      </c>
      <c r="D235" s="3" t="s">
        <v>1934</v>
      </c>
      <c r="E235" s="3"/>
      <c r="F235" s="3"/>
      <c r="G235" s="3" t="s">
        <v>1935</v>
      </c>
      <c r="H235" s="3" t="s">
        <v>1936</v>
      </c>
      <c r="I235" s="3" t="s">
        <v>231</v>
      </c>
      <c r="J235" s="3" t="s">
        <v>1937</v>
      </c>
      <c r="L235" t="s">
        <v>22</v>
      </c>
      <c r="M235" t="s">
        <v>23</v>
      </c>
      <c r="N235">
        <v>77018</v>
      </c>
      <c r="O235" t="s">
        <v>1938</v>
      </c>
      <c r="P235">
        <v>7136887048</v>
      </c>
      <c r="Q235" t="s">
        <v>1939</v>
      </c>
    </row>
    <row r="236" spans="1:17" x14ac:dyDescent="0.25">
      <c r="A236" s="3" t="str">
        <f t="shared" si="3"/>
        <v>615-LED Lighting of Houston</v>
      </c>
      <c r="B236" s="3">
        <v>615</v>
      </c>
      <c r="C236" s="3" t="s">
        <v>1940</v>
      </c>
      <c r="D236" s="3" t="s">
        <v>1941</v>
      </c>
      <c r="E236" s="3"/>
      <c r="F236" s="3"/>
      <c r="G236" s="3" t="s">
        <v>1942</v>
      </c>
      <c r="H236" s="3" t="s">
        <v>1943</v>
      </c>
      <c r="I236" s="3" t="s">
        <v>1944</v>
      </c>
      <c r="J236" s="3" t="s">
        <v>1945</v>
      </c>
      <c r="L236" t="s">
        <v>1946</v>
      </c>
      <c r="M236" t="s">
        <v>23</v>
      </c>
      <c r="N236">
        <v>77004</v>
      </c>
      <c r="O236" t="s">
        <v>1947</v>
      </c>
      <c r="Q236" t="s">
        <v>1948</v>
      </c>
    </row>
    <row r="237" spans="1:17" x14ac:dyDescent="0.25">
      <c r="A237" s="3" t="str">
        <f t="shared" si="3"/>
        <v>496-LEDi2 Inc</v>
      </c>
      <c r="B237" s="3">
        <v>496</v>
      </c>
      <c r="C237" s="3" t="s">
        <v>1949</v>
      </c>
      <c r="D237" s="3" t="s">
        <v>1950</v>
      </c>
      <c r="E237" s="3"/>
      <c r="F237" s="3"/>
      <c r="G237" s="3" t="s">
        <v>1497</v>
      </c>
      <c r="H237" s="3" t="s">
        <v>1951</v>
      </c>
      <c r="I237" s="3" t="s">
        <v>1952</v>
      </c>
      <c r="J237" s="3" t="s">
        <v>1953</v>
      </c>
      <c r="L237" t="s">
        <v>22</v>
      </c>
      <c r="M237" t="s">
        <v>23</v>
      </c>
      <c r="N237">
        <v>77036</v>
      </c>
      <c r="O237" t="s">
        <v>1954</v>
      </c>
      <c r="Q237" t="s">
        <v>1955</v>
      </c>
    </row>
    <row r="238" spans="1:17" x14ac:dyDescent="0.25">
      <c r="A238" s="3" t="str">
        <f t="shared" si="3"/>
        <v>514-Letsos Company</v>
      </c>
      <c r="B238" s="3">
        <v>514</v>
      </c>
      <c r="C238" s="3" t="s">
        <v>1956</v>
      </c>
      <c r="D238" s="3" t="s">
        <v>1957</v>
      </c>
      <c r="E238" s="3"/>
      <c r="F238" s="3"/>
      <c r="G238" s="3" t="s">
        <v>1785</v>
      </c>
      <c r="H238" s="3" t="s">
        <v>1958</v>
      </c>
      <c r="I238" s="3" t="s">
        <v>1959</v>
      </c>
      <c r="J238" s="3" t="s">
        <v>1960</v>
      </c>
      <c r="K238" t="s">
        <v>1961</v>
      </c>
      <c r="L238" t="s">
        <v>22</v>
      </c>
      <c r="M238" t="s">
        <v>23</v>
      </c>
      <c r="N238">
        <v>77236</v>
      </c>
      <c r="O238" t="s">
        <v>1962</v>
      </c>
      <c r="P238" t="s">
        <v>1963</v>
      </c>
      <c r="Q238" t="s">
        <v>1964</v>
      </c>
    </row>
    <row r="239" spans="1:17" x14ac:dyDescent="0.25">
      <c r="A239" s="3" t="str">
        <f t="shared" si="3"/>
        <v>521-Level 3 Communications</v>
      </c>
      <c r="B239" s="3">
        <v>521</v>
      </c>
      <c r="C239" s="3" t="s">
        <v>1965</v>
      </c>
      <c r="D239" s="3" t="s">
        <v>1966</v>
      </c>
      <c r="E239" s="3"/>
      <c r="F239" s="3"/>
      <c r="G239" s="3" t="s">
        <v>1967</v>
      </c>
      <c r="H239" s="3" t="s">
        <v>1968</v>
      </c>
      <c r="I239" s="3" t="s">
        <v>1969</v>
      </c>
      <c r="J239" s="3" t="s">
        <v>1970</v>
      </c>
      <c r="L239" t="s">
        <v>22</v>
      </c>
      <c r="M239" t="s">
        <v>23</v>
      </c>
      <c r="N239">
        <v>77060</v>
      </c>
      <c r="O239" t="s">
        <v>1971</v>
      </c>
      <c r="Q239" t="s">
        <v>1972</v>
      </c>
    </row>
    <row r="240" spans="1:17" x14ac:dyDescent="0.25">
      <c r="A240" s="3" t="str">
        <f t="shared" si="3"/>
        <v>367-Lighting network</v>
      </c>
      <c r="B240" s="3">
        <v>367</v>
      </c>
      <c r="C240" s="3" t="s">
        <v>1973</v>
      </c>
      <c r="D240" s="3" t="s">
        <v>1974</v>
      </c>
      <c r="E240" s="3"/>
      <c r="F240" s="3"/>
      <c r="G240" s="3" t="s">
        <v>1975</v>
      </c>
      <c r="H240" s="3" t="s">
        <v>1976</v>
      </c>
      <c r="I240" s="3" t="s">
        <v>78</v>
      </c>
      <c r="J240" s="3" t="s">
        <v>1977</v>
      </c>
      <c r="L240" t="s">
        <v>22</v>
      </c>
      <c r="M240" t="s">
        <v>23</v>
      </c>
      <c r="N240">
        <v>77053</v>
      </c>
      <c r="O240" t="s">
        <v>1978</v>
      </c>
      <c r="P240" t="s">
        <v>1979</v>
      </c>
      <c r="Q240" t="s">
        <v>1980</v>
      </c>
    </row>
    <row r="241" spans="1:17" x14ac:dyDescent="0.25">
      <c r="A241" s="3" t="str">
        <f t="shared" si="3"/>
        <v>256-LIGHTING NETWORK, LLC</v>
      </c>
      <c r="B241" s="3">
        <v>256</v>
      </c>
      <c r="C241" s="3" t="s">
        <v>1981</v>
      </c>
      <c r="D241" s="3" t="s">
        <v>1982</v>
      </c>
      <c r="E241" s="3"/>
      <c r="F241" s="3" t="s">
        <v>1973</v>
      </c>
      <c r="G241" s="3" t="s">
        <v>1983</v>
      </c>
      <c r="H241" s="3" t="s">
        <v>1984</v>
      </c>
      <c r="I241" s="3" t="s">
        <v>86</v>
      </c>
      <c r="J241" s="3" t="s">
        <v>1985</v>
      </c>
      <c r="L241" t="s">
        <v>88</v>
      </c>
      <c r="M241" t="s">
        <v>23</v>
      </c>
      <c r="N241">
        <v>77053</v>
      </c>
      <c r="O241" t="s">
        <v>1986</v>
      </c>
      <c r="P241" t="s">
        <v>1979</v>
      </c>
      <c r="Q241" t="s">
        <v>1987</v>
      </c>
    </row>
    <row r="242" spans="1:17" x14ac:dyDescent="0.25">
      <c r="A242" s="3" t="str">
        <f t="shared" si="3"/>
        <v>548-Lime Energy Services Company</v>
      </c>
      <c r="B242" s="3">
        <v>548</v>
      </c>
      <c r="C242" s="3" t="s">
        <v>1988</v>
      </c>
      <c r="D242" s="3" t="s">
        <v>1989</v>
      </c>
      <c r="E242" s="3" t="s">
        <v>1990</v>
      </c>
      <c r="F242" s="3" t="s">
        <v>1991</v>
      </c>
      <c r="G242" s="3" t="s">
        <v>76</v>
      </c>
      <c r="H242" s="3" t="s">
        <v>1992</v>
      </c>
      <c r="I242" s="3" t="s">
        <v>1993</v>
      </c>
      <c r="J242" s="3" t="s">
        <v>1994</v>
      </c>
      <c r="L242" t="s">
        <v>1995</v>
      </c>
      <c r="M242" t="s">
        <v>1051</v>
      </c>
      <c r="N242">
        <v>27407</v>
      </c>
      <c r="O242" t="s">
        <v>1996</v>
      </c>
      <c r="Q242" t="s">
        <v>1997</v>
      </c>
    </row>
    <row r="243" spans="1:17" x14ac:dyDescent="0.25">
      <c r="A243" s="3" t="str">
        <f t="shared" si="3"/>
        <v>270-Lime Energy, Inc.</v>
      </c>
      <c r="B243" s="3">
        <v>270</v>
      </c>
      <c r="C243" s="3" t="s">
        <v>1998</v>
      </c>
      <c r="D243" s="3" t="s">
        <v>1999</v>
      </c>
      <c r="E243" s="3"/>
      <c r="F243" s="3"/>
      <c r="G243" s="3" t="s">
        <v>2000</v>
      </c>
      <c r="H243" s="3" t="s">
        <v>2001</v>
      </c>
      <c r="I243" s="3" t="s">
        <v>114</v>
      </c>
      <c r="J243" s="3" t="s">
        <v>2002</v>
      </c>
      <c r="L243" t="s">
        <v>165</v>
      </c>
      <c r="M243" t="s">
        <v>23</v>
      </c>
      <c r="N243">
        <v>78752</v>
      </c>
      <c r="O243" t="s">
        <v>2003</v>
      </c>
      <c r="P243" t="s">
        <v>2004</v>
      </c>
      <c r="Q243" t="s">
        <v>2005</v>
      </c>
    </row>
    <row r="244" spans="1:17" x14ac:dyDescent="0.25">
      <c r="A244" s="3" t="str">
        <f t="shared" si="3"/>
        <v>249-Linc Lighting and Electric</v>
      </c>
      <c r="B244" s="3">
        <v>249</v>
      </c>
      <c r="C244" s="3" t="s">
        <v>2006</v>
      </c>
      <c r="D244" s="3" t="s">
        <v>2007</v>
      </c>
      <c r="E244" s="3" t="s">
        <v>2008</v>
      </c>
      <c r="F244" s="3"/>
      <c r="G244" s="3" t="s">
        <v>793</v>
      </c>
      <c r="H244" s="3" t="s">
        <v>2009</v>
      </c>
      <c r="I244" s="3" t="s">
        <v>114</v>
      </c>
      <c r="J244" s="3" t="s">
        <v>2010</v>
      </c>
      <c r="L244" t="s">
        <v>2011</v>
      </c>
      <c r="M244" t="s">
        <v>155</v>
      </c>
      <c r="N244">
        <v>90703</v>
      </c>
      <c r="O244" t="s">
        <v>2012</v>
      </c>
      <c r="P244" t="s">
        <v>2013</v>
      </c>
      <c r="Q244" t="s">
        <v>2014</v>
      </c>
    </row>
    <row r="245" spans="1:17" x14ac:dyDescent="0.25">
      <c r="A245" s="3" t="str">
        <f t="shared" si="3"/>
        <v>280-Linc Service, LLC</v>
      </c>
      <c r="B245" s="3">
        <v>280</v>
      </c>
      <c r="C245" s="3" t="s">
        <v>2015</v>
      </c>
      <c r="D245" s="3" t="s">
        <v>2016</v>
      </c>
      <c r="E245" s="3" t="s">
        <v>2008</v>
      </c>
      <c r="F245" s="3" t="s">
        <v>2015</v>
      </c>
      <c r="G245" s="3" t="s">
        <v>1686</v>
      </c>
      <c r="H245" s="3" t="s">
        <v>2017</v>
      </c>
      <c r="I245" s="3" t="s">
        <v>2018</v>
      </c>
      <c r="J245" s="3" t="s">
        <v>2019</v>
      </c>
      <c r="L245" t="s">
        <v>22</v>
      </c>
      <c r="M245" t="s">
        <v>23</v>
      </c>
      <c r="N245">
        <v>77060</v>
      </c>
      <c r="O245" t="s">
        <v>2020</v>
      </c>
      <c r="P245" t="s">
        <v>2021</v>
      </c>
      <c r="Q245" t="s">
        <v>2022</v>
      </c>
    </row>
    <row r="246" spans="1:17" x14ac:dyDescent="0.25">
      <c r="A246" s="3" t="str">
        <f t="shared" si="3"/>
        <v>282-Lowe''s Home Centers, Inc.</v>
      </c>
      <c r="B246" s="3">
        <v>282</v>
      </c>
      <c r="C246" s="3" t="s">
        <v>2023</v>
      </c>
      <c r="D246" s="3" t="s">
        <v>2024</v>
      </c>
      <c r="E246" s="3"/>
      <c r="F246" s="3"/>
      <c r="G246" s="3" t="s">
        <v>2025</v>
      </c>
      <c r="H246" s="3" t="s">
        <v>2026</v>
      </c>
      <c r="I246" s="3" t="s">
        <v>2027</v>
      </c>
      <c r="J246" s="3" t="s">
        <v>2028</v>
      </c>
      <c r="L246" t="s">
        <v>2029</v>
      </c>
      <c r="M246" t="s">
        <v>1051</v>
      </c>
      <c r="N246">
        <v>28656</v>
      </c>
      <c r="O246" t="s">
        <v>2030</v>
      </c>
      <c r="Q246" t="s">
        <v>2031</v>
      </c>
    </row>
    <row r="247" spans="1:17" x14ac:dyDescent="0.25">
      <c r="A247" s="3" t="str">
        <f t="shared" si="3"/>
        <v>361-LQ Management LLC.</v>
      </c>
      <c r="B247" s="3">
        <v>361</v>
      </c>
      <c r="C247" s="3" t="s">
        <v>2032</v>
      </c>
      <c r="D247" s="3" t="s">
        <v>2033</v>
      </c>
      <c r="E247" s="3"/>
      <c r="F247" s="3"/>
      <c r="G247" s="3" t="s">
        <v>2034</v>
      </c>
      <c r="H247" s="3" t="s">
        <v>2035</v>
      </c>
      <c r="I247" s="3" t="s">
        <v>2036</v>
      </c>
      <c r="J247" s="3" t="s">
        <v>2037</v>
      </c>
      <c r="K247" t="s">
        <v>2038</v>
      </c>
      <c r="L247" t="s">
        <v>107</v>
      </c>
      <c r="M247" t="s">
        <v>23</v>
      </c>
      <c r="N247">
        <v>75038</v>
      </c>
      <c r="O247" t="s">
        <v>2039</v>
      </c>
      <c r="Q247" t="s">
        <v>2040</v>
      </c>
    </row>
    <row r="248" spans="1:17" x14ac:dyDescent="0.25">
      <c r="A248" s="3" t="str">
        <f t="shared" si="3"/>
        <v>456-Lutron Electronics</v>
      </c>
      <c r="B248" s="3">
        <v>456</v>
      </c>
      <c r="C248" s="3" t="s">
        <v>2041</v>
      </c>
      <c r="D248" s="3" t="s">
        <v>2042</v>
      </c>
      <c r="E248" s="3"/>
      <c r="F248" s="3"/>
      <c r="G248" s="3" t="s">
        <v>2043</v>
      </c>
      <c r="H248" s="3" t="s">
        <v>611</v>
      </c>
      <c r="I248" s="3" t="s">
        <v>2044</v>
      </c>
      <c r="J248" s="3" t="s">
        <v>2045</v>
      </c>
      <c r="L248" t="s">
        <v>2046</v>
      </c>
      <c r="M248" t="s">
        <v>23</v>
      </c>
      <c r="N248">
        <v>77356</v>
      </c>
      <c r="O248" t="s">
        <v>2047</v>
      </c>
      <c r="Q248" t="s">
        <v>2048</v>
      </c>
    </row>
    <row r="249" spans="1:17" x14ac:dyDescent="0.25">
      <c r="A249" s="3" t="str">
        <f t="shared" si="3"/>
        <v>598-LVI ENERGY</v>
      </c>
      <c r="B249" s="3">
        <v>598</v>
      </c>
      <c r="C249" s="3" t="s">
        <v>2049</v>
      </c>
      <c r="D249" s="3" t="s">
        <v>2050</v>
      </c>
      <c r="E249" s="3"/>
      <c r="F249" s="3"/>
      <c r="G249" s="3" t="s">
        <v>359</v>
      </c>
      <c r="H249" s="3" t="s">
        <v>2051</v>
      </c>
      <c r="I249" s="3" t="s">
        <v>2052</v>
      </c>
      <c r="J249" s="3" t="s">
        <v>2053</v>
      </c>
      <c r="L249" t="s">
        <v>2054</v>
      </c>
      <c r="M249" t="s">
        <v>448</v>
      </c>
      <c r="N249">
        <v>11716</v>
      </c>
      <c r="O249" t="s">
        <v>2055</v>
      </c>
      <c r="P249">
        <v>8887366450</v>
      </c>
      <c r="Q249" t="s">
        <v>2056</v>
      </c>
    </row>
    <row r="250" spans="1:17" x14ac:dyDescent="0.25">
      <c r="A250" s="3" t="str">
        <f t="shared" si="3"/>
        <v>492-M S International Inc</v>
      </c>
      <c r="B250" s="3">
        <v>492</v>
      </c>
      <c r="C250" s="3" t="s">
        <v>2057</v>
      </c>
      <c r="D250" s="3" t="s">
        <v>2058</v>
      </c>
      <c r="E250" s="3"/>
      <c r="F250" s="3"/>
      <c r="G250" s="3" t="s">
        <v>2059</v>
      </c>
      <c r="H250" s="3" t="s">
        <v>276</v>
      </c>
      <c r="I250" s="3" t="s">
        <v>2060</v>
      </c>
      <c r="J250" s="3" t="s">
        <v>2061</v>
      </c>
      <c r="K250" t="s">
        <v>2062</v>
      </c>
      <c r="L250" t="s">
        <v>2063</v>
      </c>
      <c r="M250" t="s">
        <v>23</v>
      </c>
      <c r="N250">
        <v>77039</v>
      </c>
      <c r="O250" t="s">
        <v>2064</v>
      </c>
      <c r="P250" t="s">
        <v>2065</v>
      </c>
      <c r="Q250" t="s">
        <v>2066</v>
      </c>
    </row>
    <row r="251" spans="1:17" x14ac:dyDescent="0.25">
      <c r="A251" s="3" t="str">
        <f t="shared" si="3"/>
        <v>236-M.C. LIGHTING MAINTENANCE, LLC</v>
      </c>
      <c r="B251" s="3">
        <v>236</v>
      </c>
      <c r="C251" s="3" t="s">
        <v>2067</v>
      </c>
      <c r="D251" s="3" t="s">
        <v>2068</v>
      </c>
      <c r="E251" s="3"/>
      <c r="F251" s="3"/>
      <c r="G251" s="3" t="s">
        <v>2069</v>
      </c>
      <c r="H251" s="3" t="s">
        <v>2070</v>
      </c>
      <c r="I251" s="3" t="s">
        <v>86</v>
      </c>
      <c r="J251" s="3" t="s">
        <v>2071</v>
      </c>
      <c r="L251" t="s">
        <v>687</v>
      </c>
      <c r="M251" t="s">
        <v>23</v>
      </c>
      <c r="N251">
        <v>77406</v>
      </c>
      <c r="O251" t="s">
        <v>2072</v>
      </c>
      <c r="Q251" t="s">
        <v>2073</v>
      </c>
    </row>
    <row r="252" spans="1:17" x14ac:dyDescent="0.25">
      <c r="A252" s="3" t="str">
        <f t="shared" si="3"/>
        <v>593-Macy''s</v>
      </c>
      <c r="B252" s="3">
        <v>593</v>
      </c>
      <c r="C252" s="3" t="s">
        <v>2074</v>
      </c>
      <c r="D252" s="3" t="s">
        <v>2075</v>
      </c>
      <c r="E252" s="3"/>
      <c r="F252" s="3"/>
      <c r="G252" s="3" t="s">
        <v>2076</v>
      </c>
      <c r="H252" s="3" t="s">
        <v>2077</v>
      </c>
      <c r="I252" s="3" t="s">
        <v>2078</v>
      </c>
      <c r="J252" s="3" t="s">
        <v>2079</v>
      </c>
      <c r="L252" t="s">
        <v>1001</v>
      </c>
      <c r="M252" t="s">
        <v>1002</v>
      </c>
      <c r="N252">
        <v>45202</v>
      </c>
      <c r="O252" t="s">
        <v>2080</v>
      </c>
      <c r="Q252" t="s">
        <v>2081</v>
      </c>
    </row>
    <row r="253" spans="1:17" x14ac:dyDescent="0.25">
      <c r="A253" s="3" t="str">
        <f t="shared" si="3"/>
        <v xml:space="preserve">633-Manco Electric </v>
      </c>
      <c r="B253">
        <v>633</v>
      </c>
      <c r="D253" t="s">
        <v>2082</v>
      </c>
      <c r="G253" t="s">
        <v>2083</v>
      </c>
      <c r="H253" t="s">
        <v>2084</v>
      </c>
      <c r="J253" t="s">
        <v>2085</v>
      </c>
      <c r="L253" t="s">
        <v>554</v>
      </c>
      <c r="M253" t="s">
        <v>23</v>
      </c>
      <c r="N253" s="4" t="s">
        <v>2086</v>
      </c>
      <c r="O253" t="s">
        <v>2087</v>
      </c>
      <c r="Q253" t="s">
        <v>2088</v>
      </c>
    </row>
    <row r="254" spans="1:17" x14ac:dyDescent="0.25">
      <c r="A254" s="3" t="str">
        <f t="shared" si="3"/>
        <v>241-Maneri Agraz, LLC.</v>
      </c>
      <c r="B254" s="3">
        <v>241</v>
      </c>
      <c r="C254" s="3" t="s">
        <v>2089</v>
      </c>
      <c r="D254" s="3" t="s">
        <v>2090</v>
      </c>
      <c r="E254" s="3" t="s">
        <v>2091</v>
      </c>
      <c r="F254" s="3" t="s">
        <v>2092</v>
      </c>
      <c r="G254" s="3" t="s">
        <v>349</v>
      </c>
      <c r="H254" s="3" t="s">
        <v>2093</v>
      </c>
      <c r="I254" s="3" t="s">
        <v>436</v>
      </c>
      <c r="J254" s="3" t="s">
        <v>2094</v>
      </c>
      <c r="L254" t="s">
        <v>22</v>
      </c>
      <c r="M254" t="s">
        <v>23</v>
      </c>
      <c r="N254">
        <v>77043</v>
      </c>
      <c r="O254" t="s">
        <v>2095</v>
      </c>
      <c r="P254" t="s">
        <v>2096</v>
      </c>
      <c r="Q254" t="s">
        <v>2097</v>
      </c>
    </row>
    <row r="255" spans="1:17" x14ac:dyDescent="0.25">
      <c r="A255" s="3" t="str">
        <f t="shared" si="3"/>
        <v>530-Mantua Manufacturing</v>
      </c>
      <c r="B255" s="3">
        <v>530</v>
      </c>
      <c r="C255" s="3" t="s">
        <v>2098</v>
      </c>
      <c r="D255" s="3" t="s">
        <v>2099</v>
      </c>
      <c r="E255" s="3"/>
      <c r="F255" s="3"/>
      <c r="G255" s="3" t="s">
        <v>2100</v>
      </c>
      <c r="H255" s="3" t="s">
        <v>2101</v>
      </c>
      <c r="I255" s="3" t="s">
        <v>2018</v>
      </c>
      <c r="J255" s="3" t="s">
        <v>2102</v>
      </c>
      <c r="L255" t="s">
        <v>22</v>
      </c>
      <c r="M255" t="s">
        <v>23</v>
      </c>
      <c r="N255">
        <v>77020</v>
      </c>
      <c r="O255" t="s">
        <v>2103</v>
      </c>
      <c r="Q255" t="s">
        <v>2104</v>
      </c>
    </row>
    <row r="256" spans="1:17" x14ac:dyDescent="0.25">
      <c r="A256" s="3" t="str">
        <f t="shared" si="3"/>
        <v>275-Marlin Environmental Products, Inc</v>
      </c>
      <c r="B256" s="3">
        <v>275</v>
      </c>
      <c r="C256" s="3" t="s">
        <v>2105</v>
      </c>
      <c r="D256" s="3" t="s">
        <v>2106</v>
      </c>
      <c r="E256" s="3"/>
      <c r="F256" s="3"/>
      <c r="G256" s="3" t="s">
        <v>112</v>
      </c>
      <c r="H256" s="3" t="s">
        <v>1101</v>
      </c>
      <c r="I256" s="3" t="s">
        <v>436</v>
      </c>
      <c r="J256" s="3" t="s">
        <v>2107</v>
      </c>
      <c r="L256" t="s">
        <v>605</v>
      </c>
      <c r="M256" t="s">
        <v>23</v>
      </c>
      <c r="N256">
        <v>77383</v>
      </c>
      <c r="O256" t="s">
        <v>1103</v>
      </c>
      <c r="Q256" t="s">
        <v>2108</v>
      </c>
    </row>
    <row r="257" spans="1:17" x14ac:dyDescent="0.25">
      <c r="A257" s="3" t="str">
        <f t="shared" si="3"/>
        <v>477-Matheson Trigas</v>
      </c>
      <c r="B257" s="3">
        <v>477</v>
      </c>
      <c r="C257" s="3" t="s">
        <v>2109</v>
      </c>
      <c r="D257" s="3" t="s">
        <v>2110</v>
      </c>
      <c r="E257" s="3"/>
      <c r="F257" s="3"/>
      <c r="G257" s="3" t="s">
        <v>2111</v>
      </c>
      <c r="H257" s="3" t="s">
        <v>2112</v>
      </c>
      <c r="I257" s="3" t="s">
        <v>2113</v>
      </c>
      <c r="J257" s="3" t="s">
        <v>2114</v>
      </c>
      <c r="L257" t="s">
        <v>392</v>
      </c>
      <c r="M257" t="s">
        <v>23</v>
      </c>
      <c r="N257">
        <v>77477</v>
      </c>
      <c r="O257" t="s">
        <v>2115</v>
      </c>
      <c r="P257">
        <v>2815308907</v>
      </c>
      <c r="Q257" t="s">
        <v>2116</v>
      </c>
    </row>
    <row r="258" spans="1:17" x14ac:dyDescent="0.25">
      <c r="A258" s="3" t="str">
        <f t="shared" ref="A258:A321" si="4">IF(B258="","",B258&amp;"-"&amp;D258)</f>
        <v>320-Maximus Coffee Group</v>
      </c>
      <c r="B258" s="3">
        <v>320</v>
      </c>
      <c r="C258" s="3" t="s">
        <v>2117</v>
      </c>
      <c r="D258" s="3" t="s">
        <v>2118</v>
      </c>
      <c r="E258" s="3"/>
      <c r="F258" s="3"/>
      <c r="G258" s="3" t="s">
        <v>2119</v>
      </c>
      <c r="H258" s="3" t="s">
        <v>2120</v>
      </c>
      <c r="I258" s="3" t="s">
        <v>2121</v>
      </c>
      <c r="J258" s="3" t="s">
        <v>2122</v>
      </c>
      <c r="L258" t="s">
        <v>22</v>
      </c>
      <c r="M258" t="s">
        <v>23</v>
      </c>
      <c r="N258">
        <v>77003</v>
      </c>
      <c r="O258" t="s">
        <v>2123</v>
      </c>
      <c r="P258" t="s">
        <v>2124</v>
      </c>
      <c r="Q258" t="s">
        <v>2125</v>
      </c>
    </row>
    <row r="259" spans="1:17" x14ac:dyDescent="0.25">
      <c r="A259" s="3" t="str">
        <f t="shared" si="4"/>
        <v>524-Mazzetti Nash Lipsey Burch</v>
      </c>
      <c r="B259" s="3">
        <v>524</v>
      </c>
      <c r="C259" s="3" t="s">
        <v>2126</v>
      </c>
      <c r="D259" s="3" t="s">
        <v>2127</v>
      </c>
      <c r="E259" s="3"/>
      <c r="F259" s="3"/>
      <c r="G259" s="3" t="s">
        <v>339</v>
      </c>
      <c r="H259" s="3" t="s">
        <v>2128</v>
      </c>
      <c r="I259" s="3" t="s">
        <v>2129</v>
      </c>
      <c r="J259" s="3" t="s">
        <v>2130</v>
      </c>
      <c r="K259" t="s">
        <v>2131</v>
      </c>
      <c r="L259" t="s">
        <v>2132</v>
      </c>
      <c r="M259" t="s">
        <v>1295</v>
      </c>
      <c r="N259">
        <v>37027</v>
      </c>
      <c r="O259" t="s">
        <v>2133</v>
      </c>
      <c r="Q259" t="s">
        <v>2134</v>
      </c>
    </row>
    <row r="260" spans="1:17" x14ac:dyDescent="0.25">
      <c r="A260" s="3" t="str">
        <f t="shared" si="4"/>
        <v>237-McBride Electric</v>
      </c>
      <c r="B260" s="3">
        <v>237</v>
      </c>
      <c r="C260" s="3" t="s">
        <v>2135</v>
      </c>
      <c r="D260" s="3" t="s">
        <v>2136</v>
      </c>
      <c r="E260" s="3" t="s">
        <v>2137</v>
      </c>
      <c r="F260" s="3" t="s">
        <v>2135</v>
      </c>
      <c r="G260" s="3" t="s">
        <v>675</v>
      </c>
      <c r="H260" s="3" t="s">
        <v>676</v>
      </c>
      <c r="I260" s="3" t="s">
        <v>2138</v>
      </c>
      <c r="J260" s="3" t="s">
        <v>2139</v>
      </c>
      <c r="L260" t="s">
        <v>22</v>
      </c>
      <c r="M260" t="s">
        <v>23</v>
      </c>
      <c r="N260">
        <v>77018</v>
      </c>
      <c r="O260" t="s">
        <v>2140</v>
      </c>
      <c r="P260" t="s">
        <v>2141</v>
      </c>
      <c r="Q260" t="s">
        <v>2142</v>
      </c>
    </row>
    <row r="261" spans="1:17" x14ac:dyDescent="0.25">
      <c r="A261" s="3" t="str">
        <f t="shared" si="4"/>
        <v>576-McKinstry Co.</v>
      </c>
      <c r="B261" s="3">
        <v>576</v>
      </c>
      <c r="C261" s="3" t="s">
        <v>2143</v>
      </c>
      <c r="D261" s="3" t="s">
        <v>2144</v>
      </c>
      <c r="E261" s="3"/>
      <c r="F261" s="3"/>
      <c r="G261" s="3" t="s">
        <v>2145</v>
      </c>
      <c r="H261" s="3" t="s">
        <v>2146</v>
      </c>
      <c r="I261" s="3" t="s">
        <v>2147</v>
      </c>
      <c r="J261" s="3" t="s">
        <v>2148</v>
      </c>
      <c r="L261" t="s">
        <v>2149</v>
      </c>
      <c r="M261" t="s">
        <v>853</v>
      </c>
      <c r="N261">
        <v>98134</v>
      </c>
      <c r="O261" t="s">
        <v>2150</v>
      </c>
      <c r="Q261" t="s">
        <v>2151</v>
      </c>
    </row>
    <row r="262" spans="1:17" x14ac:dyDescent="0.25">
      <c r="A262" s="3" t="str">
        <f t="shared" si="4"/>
        <v>302-MD Anderson Cancer Center</v>
      </c>
      <c r="B262" s="3">
        <v>302</v>
      </c>
      <c r="C262" s="3" t="s">
        <v>2152</v>
      </c>
      <c r="D262" s="3" t="s">
        <v>2153</v>
      </c>
      <c r="E262" s="3"/>
      <c r="F262" s="3"/>
      <c r="G262" s="3" t="s">
        <v>2154</v>
      </c>
      <c r="H262" s="3" t="s">
        <v>2155</v>
      </c>
      <c r="I262" s="3" t="s">
        <v>2156</v>
      </c>
      <c r="J262" s="3" t="s">
        <v>2157</v>
      </c>
      <c r="K262" t="s">
        <v>2158</v>
      </c>
      <c r="L262" t="s">
        <v>1946</v>
      </c>
      <c r="M262" t="s">
        <v>23</v>
      </c>
      <c r="N262">
        <v>77230</v>
      </c>
      <c r="O262" t="s">
        <v>2159</v>
      </c>
      <c r="P262" t="s">
        <v>2160</v>
      </c>
      <c r="Q262" t="s">
        <v>2161</v>
      </c>
    </row>
    <row r="263" spans="1:17" x14ac:dyDescent="0.25">
      <c r="A263" s="3" t="str">
        <f t="shared" si="4"/>
        <v>450-Mechanical Systems and Services</v>
      </c>
      <c r="B263" s="3">
        <v>450</v>
      </c>
      <c r="C263" s="3" t="s">
        <v>2162</v>
      </c>
      <c r="D263" s="3" t="s">
        <v>2163</v>
      </c>
      <c r="E263" s="3"/>
      <c r="F263" s="3"/>
      <c r="G263" s="3" t="s">
        <v>1811</v>
      </c>
      <c r="H263" s="3" t="s">
        <v>2164</v>
      </c>
      <c r="I263" s="3" t="s">
        <v>68</v>
      </c>
      <c r="J263" s="3" t="s">
        <v>2165</v>
      </c>
      <c r="L263" t="s">
        <v>2166</v>
      </c>
      <c r="M263" t="s">
        <v>1051</v>
      </c>
      <c r="N263">
        <v>28232</v>
      </c>
      <c r="O263" t="s">
        <v>2167</v>
      </c>
      <c r="P263" t="s">
        <v>2168</v>
      </c>
      <c r="Q263" t="s">
        <v>2169</v>
      </c>
    </row>
    <row r="264" spans="1:17" x14ac:dyDescent="0.25">
      <c r="A264" s="3" t="str">
        <f t="shared" si="4"/>
        <v>575-Melink Corporation</v>
      </c>
      <c r="B264" s="3">
        <v>575</v>
      </c>
      <c r="C264" s="3" t="s">
        <v>2170</v>
      </c>
      <c r="D264" s="3" t="s">
        <v>2171</v>
      </c>
      <c r="E264" s="3"/>
      <c r="F264" s="3"/>
      <c r="G264" s="3" t="s">
        <v>1785</v>
      </c>
      <c r="H264" s="3" t="s">
        <v>2172</v>
      </c>
      <c r="I264" s="3" t="s">
        <v>370</v>
      </c>
      <c r="J264" s="3" t="s">
        <v>2173</v>
      </c>
      <c r="L264" t="s">
        <v>2174</v>
      </c>
      <c r="M264" t="s">
        <v>1002</v>
      </c>
      <c r="N264">
        <v>45150</v>
      </c>
      <c r="O264" t="s">
        <v>2175</v>
      </c>
      <c r="Q264" t="s">
        <v>2176</v>
      </c>
    </row>
    <row r="265" spans="1:17" x14ac:dyDescent="0.25">
      <c r="A265" s="3" t="str">
        <f t="shared" si="4"/>
        <v>330-Memorial Drive Prebyterian Church</v>
      </c>
      <c r="B265" s="3">
        <v>330</v>
      </c>
      <c r="C265" s="3" t="s">
        <v>2177</v>
      </c>
      <c r="D265" s="3" t="s">
        <v>2178</v>
      </c>
      <c r="E265" s="3"/>
      <c r="F265" s="3"/>
      <c r="G265" s="3" t="s">
        <v>2179</v>
      </c>
      <c r="H265" s="3" t="s">
        <v>2180</v>
      </c>
      <c r="I265" s="3" t="s">
        <v>2181</v>
      </c>
      <c r="J265" s="3" t="s">
        <v>2182</v>
      </c>
      <c r="L265" t="s">
        <v>22</v>
      </c>
      <c r="M265" t="s">
        <v>23</v>
      </c>
      <c r="N265">
        <v>77024</v>
      </c>
      <c r="O265" t="s">
        <v>2183</v>
      </c>
      <c r="P265" t="s">
        <v>2184</v>
      </c>
      <c r="Q265" t="s">
        <v>2185</v>
      </c>
    </row>
    <row r="266" spans="1:17" x14ac:dyDescent="0.25">
      <c r="A266" s="3" t="str">
        <f t="shared" si="4"/>
        <v>379-Mi</v>
      </c>
      <c r="B266" s="3">
        <v>379</v>
      </c>
      <c r="C266" s="3" t="s">
        <v>2186</v>
      </c>
      <c r="D266" s="3" t="s">
        <v>2187</v>
      </c>
      <c r="E266" s="3"/>
      <c r="F266" s="3"/>
      <c r="G266" s="3" t="s">
        <v>382</v>
      </c>
      <c r="H266" s="3" t="s">
        <v>2188</v>
      </c>
      <c r="I266" s="3" t="s">
        <v>2189</v>
      </c>
      <c r="J266" s="3" t="s">
        <v>2190</v>
      </c>
      <c r="L266" t="s">
        <v>439</v>
      </c>
      <c r="M266" t="s">
        <v>23</v>
      </c>
      <c r="N266">
        <v>77001</v>
      </c>
      <c r="O266" t="s">
        <v>2191</v>
      </c>
      <c r="Q266" t="s">
        <v>2192</v>
      </c>
    </row>
    <row r="267" spans="1:17" x14ac:dyDescent="0.25">
      <c r="A267" s="3" t="str">
        <f t="shared" si="4"/>
        <v>347-Michael's Store Inc</v>
      </c>
      <c r="B267" s="3">
        <v>347</v>
      </c>
      <c r="C267" s="3" t="s">
        <v>2193</v>
      </c>
      <c r="D267" s="3" t="s">
        <v>2194</v>
      </c>
      <c r="E267" s="3"/>
      <c r="F267" s="3"/>
      <c r="G267" s="3" t="s">
        <v>2195</v>
      </c>
      <c r="H267" s="3" t="s">
        <v>2196</v>
      </c>
      <c r="I267" s="3" t="s">
        <v>652</v>
      </c>
      <c r="J267" s="3" t="s">
        <v>2197</v>
      </c>
      <c r="L267" t="s">
        <v>107</v>
      </c>
      <c r="M267" t="s">
        <v>23</v>
      </c>
      <c r="N267">
        <v>75063</v>
      </c>
      <c r="O267" t="s">
        <v>2198</v>
      </c>
      <c r="P267" t="s">
        <v>2199</v>
      </c>
      <c r="Q267" t="s">
        <v>2200</v>
      </c>
    </row>
    <row r="268" spans="1:17" x14ac:dyDescent="0.25">
      <c r="A268" s="3" t="str">
        <f t="shared" si="4"/>
        <v>386-MIROR Lighting, Inc.</v>
      </c>
      <c r="B268" s="3">
        <v>386</v>
      </c>
      <c r="C268" s="3" t="s">
        <v>2201</v>
      </c>
      <c r="D268" s="3" t="s">
        <v>2202</v>
      </c>
      <c r="E268" s="3"/>
      <c r="F268" s="3"/>
      <c r="G268" s="3" t="s">
        <v>2203</v>
      </c>
      <c r="H268" s="3" t="s">
        <v>2204</v>
      </c>
      <c r="I268" s="3" t="s">
        <v>2205</v>
      </c>
      <c r="J268" s="3" t="s">
        <v>2206</v>
      </c>
      <c r="L268" t="s">
        <v>1583</v>
      </c>
      <c r="M268" t="s">
        <v>280</v>
      </c>
      <c r="N268">
        <v>66215</v>
      </c>
      <c r="O268" t="s">
        <v>2207</v>
      </c>
      <c r="P268" t="s">
        <v>2208</v>
      </c>
      <c r="Q268" t="s">
        <v>2209</v>
      </c>
    </row>
    <row r="269" spans="1:17" x14ac:dyDescent="0.25">
      <c r="A269" s="3" t="str">
        <f t="shared" si="4"/>
        <v>624-Mitsubishi Power Systems Americas</v>
      </c>
      <c r="B269" s="3">
        <v>624</v>
      </c>
      <c r="C269" s="3" t="s">
        <v>2210</v>
      </c>
      <c r="D269" s="3" t="s">
        <v>2211</v>
      </c>
      <c r="E269" s="3"/>
      <c r="F269" s="3"/>
      <c r="G269" s="3" t="s">
        <v>2212</v>
      </c>
      <c r="H269" s="3" t="s">
        <v>2213</v>
      </c>
      <c r="I269" s="3" t="s">
        <v>2214</v>
      </c>
      <c r="J269" s="3" t="s">
        <v>2215</v>
      </c>
      <c r="L269" t="s">
        <v>22</v>
      </c>
      <c r="M269" t="s">
        <v>23</v>
      </c>
      <c r="N269">
        <v>77049</v>
      </c>
      <c r="O269" t="s">
        <v>2216</v>
      </c>
      <c r="Q269" t="s">
        <v>2217</v>
      </c>
    </row>
    <row r="270" spans="1:17" x14ac:dyDescent="0.25">
      <c r="A270" s="3" t="str">
        <f t="shared" si="4"/>
        <v>518-MODULIGHT USA LLC</v>
      </c>
      <c r="B270" s="3">
        <v>518</v>
      </c>
      <c r="C270" s="3" t="s">
        <v>2218</v>
      </c>
      <c r="D270" s="3" t="s">
        <v>2219</v>
      </c>
      <c r="E270" s="3"/>
      <c r="F270" s="3" t="s">
        <v>2218</v>
      </c>
      <c r="G270" s="3" t="s">
        <v>2220</v>
      </c>
      <c r="H270" s="3" t="s">
        <v>2221</v>
      </c>
      <c r="I270" s="3" t="s">
        <v>552</v>
      </c>
      <c r="J270" s="3" t="s">
        <v>2222</v>
      </c>
      <c r="L270" t="s">
        <v>88</v>
      </c>
      <c r="M270" t="s">
        <v>23</v>
      </c>
      <c r="N270">
        <v>77041</v>
      </c>
      <c r="O270" t="s">
        <v>2223</v>
      </c>
      <c r="Q270" t="s">
        <v>2224</v>
      </c>
    </row>
    <row r="271" spans="1:17" x14ac:dyDescent="0.25">
      <c r="A271" s="3" t="str">
        <f t="shared" si="4"/>
        <v>644-Monterey Energy, Inc</v>
      </c>
      <c r="B271">
        <v>644</v>
      </c>
      <c r="D271" t="s">
        <v>2225</v>
      </c>
      <c r="G271" t="s">
        <v>2226</v>
      </c>
      <c r="H271" t="s">
        <v>2227</v>
      </c>
      <c r="J271" t="s">
        <v>2228</v>
      </c>
      <c r="L271" t="s">
        <v>2229</v>
      </c>
      <c r="M271" t="s">
        <v>155</v>
      </c>
      <c r="N271" s="4" t="s">
        <v>2230</v>
      </c>
      <c r="O271" t="s">
        <v>2231</v>
      </c>
      <c r="Q271" s="6" t="s">
        <v>2232</v>
      </c>
    </row>
    <row r="272" spans="1:17" x14ac:dyDescent="0.25">
      <c r="A272" s="3" t="str">
        <f t="shared" si="4"/>
        <v>397-Monterey Lighting Solutions</v>
      </c>
      <c r="B272" s="3">
        <v>397</v>
      </c>
      <c r="C272" s="3" t="s">
        <v>2233</v>
      </c>
      <c r="D272" s="3" t="s">
        <v>2234</v>
      </c>
      <c r="E272" s="3"/>
      <c r="F272" s="3"/>
      <c r="G272" s="3" t="s">
        <v>2235</v>
      </c>
      <c r="H272" s="3" t="s">
        <v>2236</v>
      </c>
      <c r="I272" s="3" t="s">
        <v>2237</v>
      </c>
      <c r="J272" s="3" t="s">
        <v>2238</v>
      </c>
      <c r="L272" t="s">
        <v>2239</v>
      </c>
      <c r="M272" t="s">
        <v>23</v>
      </c>
      <c r="N272">
        <v>91768</v>
      </c>
      <c r="O272" t="s">
        <v>2240</v>
      </c>
      <c r="Q272" t="s">
        <v>2241</v>
      </c>
    </row>
    <row r="273" spans="1:17" x14ac:dyDescent="0.25">
      <c r="A273" s="3" t="str">
        <f t="shared" si="4"/>
        <v>364-MRT Lighting</v>
      </c>
      <c r="B273" s="3">
        <v>364</v>
      </c>
      <c r="C273" s="3" t="s">
        <v>2242</v>
      </c>
      <c r="D273" s="3" t="s">
        <v>2243</v>
      </c>
      <c r="E273" s="3" t="s">
        <v>2244</v>
      </c>
      <c r="F273" s="3" t="s">
        <v>2242</v>
      </c>
      <c r="G273" s="3" t="s">
        <v>2245</v>
      </c>
      <c r="H273" s="3" t="s">
        <v>2246</v>
      </c>
      <c r="I273" s="3" t="s">
        <v>1092</v>
      </c>
      <c r="J273" s="3" t="s">
        <v>2247</v>
      </c>
      <c r="K273" t="s">
        <v>2248</v>
      </c>
      <c r="L273" t="s">
        <v>22</v>
      </c>
      <c r="M273" t="s">
        <v>23</v>
      </c>
      <c r="N273">
        <v>77022</v>
      </c>
      <c r="O273" t="s">
        <v>2249</v>
      </c>
      <c r="P273" t="s">
        <v>2250</v>
      </c>
      <c r="Q273" t="s">
        <v>2251</v>
      </c>
    </row>
    <row r="274" spans="1:17" x14ac:dyDescent="0.25">
      <c r="A274" s="3" t="str">
        <f t="shared" si="4"/>
        <v>292-National Energy Services, Inc.</v>
      </c>
      <c r="B274" s="3">
        <v>292</v>
      </c>
      <c r="C274" s="3" t="s">
        <v>2252</v>
      </c>
      <c r="D274" s="3" t="s">
        <v>2253</v>
      </c>
      <c r="E274" s="3"/>
      <c r="F274" s="3"/>
      <c r="G274" s="3" t="s">
        <v>2254</v>
      </c>
      <c r="H274" s="3" t="s">
        <v>2255</v>
      </c>
      <c r="I274" s="3" t="s">
        <v>2256</v>
      </c>
      <c r="J274" s="3" t="s">
        <v>2257</v>
      </c>
      <c r="K274" t="s">
        <v>2258</v>
      </c>
      <c r="L274" t="s">
        <v>2259</v>
      </c>
      <c r="M274" t="s">
        <v>2260</v>
      </c>
      <c r="N274">
        <v>30076</v>
      </c>
      <c r="O274" t="s">
        <v>2261</v>
      </c>
      <c r="P274" t="s">
        <v>2262</v>
      </c>
    </row>
    <row r="275" spans="1:17" x14ac:dyDescent="0.25">
      <c r="A275" s="3" t="str">
        <f t="shared" si="4"/>
        <v>468-National Energy Solutions, Inc</v>
      </c>
      <c r="B275" s="3">
        <v>468</v>
      </c>
      <c r="C275" s="3" t="s">
        <v>2263</v>
      </c>
      <c r="D275" s="3" t="s">
        <v>2264</v>
      </c>
      <c r="E275" s="3" t="s">
        <v>2264</v>
      </c>
      <c r="F275" s="3"/>
      <c r="G275" s="3" t="s">
        <v>1663</v>
      </c>
      <c r="H275" s="3" t="s">
        <v>2265</v>
      </c>
      <c r="I275" s="3" t="s">
        <v>68</v>
      </c>
      <c r="J275" s="3" t="s">
        <v>2266</v>
      </c>
      <c r="L275" t="s">
        <v>2267</v>
      </c>
      <c r="M275" t="s">
        <v>198</v>
      </c>
      <c r="N275">
        <v>19054</v>
      </c>
      <c r="O275" t="s">
        <v>2268</v>
      </c>
      <c r="P275" t="s">
        <v>2269</v>
      </c>
      <c r="Q275" t="s">
        <v>2270</v>
      </c>
    </row>
    <row r="276" spans="1:17" x14ac:dyDescent="0.25">
      <c r="A276" s="3" t="str">
        <f t="shared" si="4"/>
        <v>538-National Resource Management</v>
      </c>
      <c r="B276" s="3">
        <v>538</v>
      </c>
      <c r="C276" s="3" t="s">
        <v>2271</v>
      </c>
      <c r="D276" s="3" t="s">
        <v>2272</v>
      </c>
      <c r="E276" s="3"/>
      <c r="F276" s="3"/>
      <c r="G276" s="3" t="s">
        <v>2273</v>
      </c>
      <c r="H276" s="3" t="s">
        <v>2274</v>
      </c>
      <c r="I276" s="3" t="s">
        <v>370</v>
      </c>
      <c r="J276" s="3" t="s">
        <v>2275</v>
      </c>
      <c r="L276" t="s">
        <v>2276</v>
      </c>
      <c r="M276" t="s">
        <v>327</v>
      </c>
      <c r="N276">
        <v>2021</v>
      </c>
      <c r="O276" t="s">
        <v>2277</v>
      </c>
      <c r="P276" t="s">
        <v>2278</v>
      </c>
      <c r="Q276" t="s">
        <v>2279</v>
      </c>
    </row>
    <row r="277" spans="1:17" x14ac:dyDescent="0.25">
      <c r="A277" s="3" t="str">
        <f t="shared" si="4"/>
        <v>639-Neighborhood Centers</v>
      </c>
      <c r="B277">
        <v>639</v>
      </c>
      <c r="D277" t="s">
        <v>2280</v>
      </c>
      <c r="G277" t="s">
        <v>2281</v>
      </c>
      <c r="H277" t="s">
        <v>2282</v>
      </c>
      <c r="J277" t="s">
        <v>2283</v>
      </c>
      <c r="L277" t="s">
        <v>316</v>
      </c>
      <c r="M277" t="s">
        <v>23</v>
      </c>
      <c r="N277">
        <v>77401</v>
      </c>
      <c r="O277" t="s">
        <v>2284</v>
      </c>
      <c r="Q277" s="6" t="s">
        <v>2285</v>
      </c>
    </row>
    <row r="278" spans="1:17" x14ac:dyDescent="0.25">
      <c r="A278" s="3" t="str">
        <f t="shared" si="4"/>
        <v>408-NES, A Johnson Controls Company</v>
      </c>
      <c r="B278" s="3">
        <v>408</v>
      </c>
      <c r="C278" s="3" t="s">
        <v>2286</v>
      </c>
      <c r="D278" s="3" t="s">
        <v>2287</v>
      </c>
      <c r="E278" s="3"/>
      <c r="F278" s="3"/>
      <c r="G278" s="3" t="s">
        <v>2288</v>
      </c>
      <c r="H278" s="3" t="s">
        <v>2289</v>
      </c>
      <c r="I278" s="3" t="s">
        <v>1284</v>
      </c>
      <c r="J278" s="3" t="s">
        <v>2257</v>
      </c>
      <c r="K278" t="s">
        <v>2258</v>
      </c>
      <c r="L278" t="s">
        <v>2259</v>
      </c>
      <c r="M278" t="s">
        <v>2260</v>
      </c>
      <c r="N278">
        <v>30076</v>
      </c>
      <c r="O278" t="s">
        <v>2290</v>
      </c>
      <c r="P278" t="s">
        <v>2291</v>
      </c>
      <c r="Q278" t="s">
        <v>2292</v>
      </c>
    </row>
    <row r="279" spans="1:17" x14ac:dyDescent="0.25">
      <c r="A279" s="3" t="str">
        <f t="shared" si="4"/>
        <v>528-netLiNK Controls</v>
      </c>
      <c r="B279" s="3">
        <v>528</v>
      </c>
      <c r="C279" s="3" t="s">
        <v>2293</v>
      </c>
      <c r="D279" s="3" t="s">
        <v>2294</v>
      </c>
      <c r="E279" s="3" t="s">
        <v>2295</v>
      </c>
      <c r="F279" s="3" t="s">
        <v>2293</v>
      </c>
      <c r="G279" s="3" t="s">
        <v>505</v>
      </c>
      <c r="H279" s="3" t="s">
        <v>2296</v>
      </c>
      <c r="I279" s="3" t="s">
        <v>68</v>
      </c>
      <c r="J279" s="3" t="s">
        <v>2297</v>
      </c>
      <c r="L279" t="s">
        <v>466</v>
      </c>
      <c r="M279" t="s">
        <v>23</v>
      </c>
      <c r="N279">
        <v>76110</v>
      </c>
      <c r="O279" t="s">
        <v>2298</v>
      </c>
      <c r="P279" t="s">
        <v>2299</v>
      </c>
      <c r="Q279" t="s">
        <v>2300</v>
      </c>
    </row>
    <row r="280" spans="1:17" x14ac:dyDescent="0.25">
      <c r="A280" s="3" t="str">
        <f t="shared" si="4"/>
        <v>325-New England Energy Management, Inc</v>
      </c>
      <c r="B280" s="3">
        <v>325</v>
      </c>
      <c r="C280" s="3" t="s">
        <v>2301</v>
      </c>
      <c r="D280" s="3" t="s">
        <v>2302</v>
      </c>
      <c r="E280" s="3"/>
      <c r="F280" s="3"/>
      <c r="G280" s="3" t="s">
        <v>1271</v>
      </c>
      <c r="H280" s="3" t="s">
        <v>2303</v>
      </c>
      <c r="I280" s="3" t="s">
        <v>436</v>
      </c>
      <c r="J280" s="3" t="s">
        <v>2304</v>
      </c>
      <c r="L280" t="s">
        <v>2305</v>
      </c>
      <c r="M280" t="s">
        <v>828</v>
      </c>
      <c r="N280">
        <v>6810</v>
      </c>
      <c r="O280" t="s">
        <v>2306</v>
      </c>
      <c r="P280" t="s">
        <v>2307</v>
      </c>
      <c r="Q280" t="s">
        <v>2308</v>
      </c>
    </row>
    <row r="281" spans="1:17" x14ac:dyDescent="0.25">
      <c r="A281" s="3" t="str">
        <f t="shared" si="4"/>
        <v>426-New England Energy Management, Inc</v>
      </c>
      <c r="B281" s="3">
        <v>426</v>
      </c>
      <c r="C281" s="3" t="s">
        <v>2309</v>
      </c>
      <c r="D281" s="3" t="s">
        <v>2302</v>
      </c>
      <c r="E281" s="3"/>
      <c r="F281" s="3"/>
      <c r="G281" s="3" t="s">
        <v>1137</v>
      </c>
      <c r="H281" s="3" t="s">
        <v>2310</v>
      </c>
      <c r="I281" s="3" t="s">
        <v>2311</v>
      </c>
      <c r="J281" s="3" t="s">
        <v>2312</v>
      </c>
      <c r="K281" t="s">
        <v>2313</v>
      </c>
      <c r="L281" t="s">
        <v>2305</v>
      </c>
      <c r="M281" t="s">
        <v>828</v>
      </c>
      <c r="N281">
        <v>6810</v>
      </c>
      <c r="O281" t="s">
        <v>2306</v>
      </c>
      <c r="P281" t="s">
        <v>2307</v>
      </c>
      <c r="Q281" t="s">
        <v>2314</v>
      </c>
    </row>
    <row r="282" spans="1:17" x14ac:dyDescent="0.25">
      <c r="A282" s="3" t="str">
        <f t="shared" si="4"/>
        <v>543-Niagara Bottling, LLC</v>
      </c>
      <c r="B282" s="3">
        <v>543</v>
      </c>
      <c r="C282" s="3" t="s">
        <v>2315</v>
      </c>
      <c r="D282" s="3" t="s">
        <v>2316</v>
      </c>
      <c r="E282" s="3"/>
      <c r="F282" s="3"/>
      <c r="G282" s="3" t="s">
        <v>2025</v>
      </c>
      <c r="H282" s="3" t="s">
        <v>2317</v>
      </c>
      <c r="I282" s="3" t="s">
        <v>481</v>
      </c>
      <c r="J282" s="3" t="s">
        <v>2318</v>
      </c>
      <c r="L282" t="s">
        <v>2229</v>
      </c>
      <c r="M282" t="s">
        <v>155</v>
      </c>
      <c r="N282">
        <v>91761</v>
      </c>
      <c r="O282" t="s">
        <v>2319</v>
      </c>
      <c r="Q282" t="s">
        <v>2320</v>
      </c>
    </row>
    <row r="283" spans="1:17" x14ac:dyDescent="0.25">
      <c r="A283" s="3" t="str">
        <f t="shared" si="4"/>
        <v>393-Noble Conservation Solutions, Inc.</v>
      </c>
      <c r="B283" s="3">
        <v>393</v>
      </c>
      <c r="C283" s="3" t="s">
        <v>2321</v>
      </c>
      <c r="D283" s="3" t="s">
        <v>2322</v>
      </c>
      <c r="E283" s="3"/>
      <c r="F283" s="3"/>
      <c r="G283" s="3" t="s">
        <v>312</v>
      </c>
      <c r="H283" s="3" t="s">
        <v>2323</v>
      </c>
      <c r="I283" s="3" t="s">
        <v>1618</v>
      </c>
      <c r="J283" s="3" t="s">
        <v>2324</v>
      </c>
      <c r="L283" t="s">
        <v>1168</v>
      </c>
      <c r="M283" t="s">
        <v>623</v>
      </c>
      <c r="N283">
        <v>55441</v>
      </c>
      <c r="O283" t="s">
        <v>2325</v>
      </c>
      <c r="Q283" t="s">
        <v>2326</v>
      </c>
    </row>
    <row r="284" spans="1:17" x14ac:dyDescent="0.25">
      <c r="A284" s="3" t="str">
        <f t="shared" si="4"/>
        <v>218-Nordco, Inc</v>
      </c>
      <c r="B284" s="3">
        <v>218</v>
      </c>
      <c r="C284" s="3" t="s">
        <v>2327</v>
      </c>
      <c r="D284" s="3" t="s">
        <v>2328</v>
      </c>
      <c r="E284" s="3" t="s">
        <v>2328</v>
      </c>
      <c r="F284" s="3" t="s">
        <v>2327</v>
      </c>
      <c r="G284" s="3" t="s">
        <v>2329</v>
      </c>
      <c r="H284" s="3" t="s">
        <v>2330</v>
      </c>
      <c r="I284" s="3" t="s">
        <v>2331</v>
      </c>
      <c r="J284" s="3" t="s">
        <v>2332</v>
      </c>
      <c r="L284" t="s">
        <v>439</v>
      </c>
      <c r="M284" t="s">
        <v>23</v>
      </c>
      <c r="N284">
        <v>75382</v>
      </c>
      <c r="O284" t="s">
        <v>2333</v>
      </c>
      <c r="P284" t="s">
        <v>2334</v>
      </c>
      <c r="Q284" t="s">
        <v>2335</v>
      </c>
    </row>
    <row r="285" spans="1:17" x14ac:dyDescent="0.25">
      <c r="A285" s="3" t="str">
        <f t="shared" si="4"/>
        <v>278-NovaTech Energy Services Group</v>
      </c>
      <c r="B285" s="3">
        <v>278</v>
      </c>
      <c r="C285" s="3" t="s">
        <v>2336</v>
      </c>
      <c r="D285" s="3" t="s">
        <v>2337</v>
      </c>
      <c r="E285" s="3"/>
      <c r="F285" s="3"/>
      <c r="G285" s="3" t="s">
        <v>1075</v>
      </c>
      <c r="H285" s="3" t="s">
        <v>2338</v>
      </c>
      <c r="I285" s="3" t="s">
        <v>2339</v>
      </c>
      <c r="J285" s="3" t="s">
        <v>2340</v>
      </c>
      <c r="L285" t="s">
        <v>2341</v>
      </c>
      <c r="M285" t="s">
        <v>23</v>
      </c>
      <c r="N285">
        <v>76011</v>
      </c>
      <c r="O285" t="s">
        <v>2342</v>
      </c>
      <c r="P285" t="s">
        <v>2343</v>
      </c>
      <c r="Q285" t="s">
        <v>2344</v>
      </c>
    </row>
    <row r="286" spans="1:17" x14ac:dyDescent="0.25">
      <c r="A286" s="3" t="str">
        <f t="shared" si="4"/>
        <v>321-Novatech Energy Services Group, Inc.</v>
      </c>
      <c r="B286" s="3">
        <v>321</v>
      </c>
      <c r="C286" s="3" t="s">
        <v>2345</v>
      </c>
      <c r="D286" s="3" t="s">
        <v>2346</v>
      </c>
      <c r="E286" s="3"/>
      <c r="F286" s="3"/>
      <c r="G286" s="3" t="s">
        <v>1075</v>
      </c>
      <c r="H286" s="3" t="s">
        <v>2338</v>
      </c>
      <c r="I286" s="3" t="s">
        <v>2347</v>
      </c>
      <c r="J286" s="3" t="s">
        <v>2340</v>
      </c>
      <c r="L286" t="s">
        <v>2341</v>
      </c>
      <c r="M286" t="s">
        <v>23</v>
      </c>
      <c r="N286">
        <v>76011</v>
      </c>
      <c r="O286" t="s">
        <v>2342</v>
      </c>
      <c r="Q286" t="s">
        <v>2344</v>
      </c>
    </row>
    <row r="287" spans="1:17" x14ac:dyDescent="0.25">
      <c r="A287" s="3" t="str">
        <f t="shared" si="4"/>
        <v>533-Obtainable Energy</v>
      </c>
      <c r="B287" s="3">
        <v>533</v>
      </c>
      <c r="C287" s="3" t="s">
        <v>2348</v>
      </c>
      <c r="D287" s="3" t="s">
        <v>2349</v>
      </c>
      <c r="E287" s="3"/>
      <c r="F287" s="3"/>
      <c r="G287" s="3" t="s">
        <v>2350</v>
      </c>
      <c r="H287" s="3" t="s">
        <v>748</v>
      </c>
      <c r="I287" s="3" t="s">
        <v>436</v>
      </c>
      <c r="J287" s="3" t="s">
        <v>2351</v>
      </c>
      <c r="L287" t="s">
        <v>1804</v>
      </c>
      <c r="M287" t="s">
        <v>23</v>
      </c>
      <c r="N287">
        <v>77546</v>
      </c>
      <c r="O287" t="s">
        <v>2352</v>
      </c>
      <c r="Q287" t="s">
        <v>2353</v>
      </c>
    </row>
    <row r="288" spans="1:17" x14ac:dyDescent="0.25">
      <c r="A288" s="3" t="str">
        <f t="shared" si="4"/>
        <v>550-Oensol LLC</v>
      </c>
      <c r="B288" s="3">
        <v>550</v>
      </c>
      <c r="C288" s="3" t="s">
        <v>2354</v>
      </c>
      <c r="D288" s="3" t="s">
        <v>2355</v>
      </c>
      <c r="E288" s="3"/>
      <c r="F288" s="3"/>
      <c r="G288" s="3" t="s">
        <v>2356</v>
      </c>
      <c r="H288" s="3" t="s">
        <v>2357</v>
      </c>
      <c r="I288" s="3" t="s">
        <v>552</v>
      </c>
      <c r="J288" s="3" t="s">
        <v>2358</v>
      </c>
      <c r="L288" t="s">
        <v>2359</v>
      </c>
      <c r="M288" t="s">
        <v>23</v>
      </c>
      <c r="N288">
        <v>77598</v>
      </c>
      <c r="O288" t="s">
        <v>2360</v>
      </c>
      <c r="Q288" t="s">
        <v>2361</v>
      </c>
    </row>
    <row r="289" spans="1:17" x14ac:dyDescent="0.25">
      <c r="A289" s="3" t="str">
        <f t="shared" si="4"/>
        <v>329-OfficeMax</v>
      </c>
      <c r="B289" s="3">
        <v>329</v>
      </c>
      <c r="C289" s="3" t="s">
        <v>2362</v>
      </c>
      <c r="D289" s="3" t="s">
        <v>2363</v>
      </c>
      <c r="E289" s="3"/>
      <c r="F289" s="3"/>
      <c r="G289" s="3" t="s">
        <v>1780</v>
      </c>
      <c r="H289" s="3" t="s">
        <v>1781</v>
      </c>
      <c r="I289" s="3" t="s">
        <v>68</v>
      </c>
      <c r="J289" s="3" t="s">
        <v>2364</v>
      </c>
      <c r="L289" t="s">
        <v>1736</v>
      </c>
      <c r="M289" t="s">
        <v>198</v>
      </c>
      <c r="N289">
        <v>19103</v>
      </c>
      <c r="O289" t="s">
        <v>1737</v>
      </c>
      <c r="Q289" t="s">
        <v>1782</v>
      </c>
    </row>
    <row r="290" spans="1:17" x14ac:dyDescent="0.25">
      <c r="A290" s="3" t="str">
        <f t="shared" si="4"/>
        <v>403-Ok Light Guy</v>
      </c>
      <c r="B290" s="3">
        <v>403</v>
      </c>
      <c r="C290" s="3" t="s">
        <v>2365</v>
      </c>
      <c r="D290" s="3" t="s">
        <v>2366</v>
      </c>
      <c r="E290" s="3"/>
      <c r="F290" s="3"/>
      <c r="G290" s="3" t="s">
        <v>2367</v>
      </c>
      <c r="H290" s="3" t="s">
        <v>2296</v>
      </c>
      <c r="I290" s="3" t="s">
        <v>552</v>
      </c>
      <c r="J290" s="3" t="s">
        <v>2368</v>
      </c>
      <c r="L290" t="s">
        <v>666</v>
      </c>
      <c r="M290" t="s">
        <v>1629</v>
      </c>
      <c r="N290">
        <v>73026</v>
      </c>
      <c r="O290" t="s">
        <v>2369</v>
      </c>
      <c r="Q290" t="s">
        <v>2370</v>
      </c>
    </row>
    <row r="291" spans="1:17" x14ac:dyDescent="0.25">
      <c r="A291" s="3" t="str">
        <f t="shared" si="4"/>
        <v>566-Oldcastle Inc</v>
      </c>
      <c r="B291" s="3">
        <v>566</v>
      </c>
      <c r="C291" s="3" t="s">
        <v>2371</v>
      </c>
      <c r="D291" s="3" t="s">
        <v>2372</v>
      </c>
      <c r="E291" s="3" t="s">
        <v>2373</v>
      </c>
      <c r="F291" s="3"/>
      <c r="G291" s="3" t="s">
        <v>2374</v>
      </c>
      <c r="H291" s="3" t="s">
        <v>2375</v>
      </c>
      <c r="I291" s="3" t="s">
        <v>2376</v>
      </c>
      <c r="J291" s="3" t="s">
        <v>2377</v>
      </c>
      <c r="L291" t="s">
        <v>605</v>
      </c>
      <c r="M291" t="s">
        <v>23</v>
      </c>
      <c r="N291">
        <v>77379</v>
      </c>
      <c r="O291" t="s">
        <v>2378</v>
      </c>
      <c r="Q291" t="s">
        <v>2379</v>
      </c>
    </row>
    <row r="292" spans="1:17" x14ac:dyDescent="0.25">
      <c r="A292" s="3" t="str">
        <f t="shared" si="4"/>
        <v>258-Onsite Energy Corporation</v>
      </c>
      <c r="B292" s="3">
        <v>258</v>
      </c>
      <c r="C292" s="3" t="s">
        <v>2380</v>
      </c>
      <c r="D292" s="3" t="s">
        <v>2381</v>
      </c>
      <c r="E292" s="3"/>
      <c r="F292" s="3" t="s">
        <v>2380</v>
      </c>
      <c r="G292" s="3" t="s">
        <v>1009</v>
      </c>
      <c r="H292" s="3" t="s">
        <v>2382</v>
      </c>
      <c r="I292" s="3" t="s">
        <v>571</v>
      </c>
      <c r="J292" s="3" t="s">
        <v>2383</v>
      </c>
      <c r="K292" t="s">
        <v>2384</v>
      </c>
      <c r="L292" t="s">
        <v>2385</v>
      </c>
      <c r="M292" t="s">
        <v>155</v>
      </c>
      <c r="N292">
        <v>92010</v>
      </c>
      <c r="O292" t="s">
        <v>2386</v>
      </c>
      <c r="P292" t="s">
        <v>2387</v>
      </c>
      <c r="Q292" t="s">
        <v>2388</v>
      </c>
    </row>
    <row r="293" spans="1:17" x14ac:dyDescent="0.25">
      <c r="A293" s="3" t="str">
        <f t="shared" si="4"/>
        <v>277-Optimum Lighting</v>
      </c>
      <c r="B293" s="3">
        <v>277</v>
      </c>
      <c r="C293" s="3" t="s">
        <v>2389</v>
      </c>
      <c r="D293" s="3" t="s">
        <v>2390</v>
      </c>
      <c r="E293" s="3"/>
      <c r="F293" s="3"/>
      <c r="G293" s="3" t="s">
        <v>2391</v>
      </c>
      <c r="H293" s="3" t="s">
        <v>2392</v>
      </c>
      <c r="I293" s="3" t="s">
        <v>1166</v>
      </c>
      <c r="J293" s="3" t="s">
        <v>2393</v>
      </c>
      <c r="L293" t="s">
        <v>2394</v>
      </c>
      <c r="M293" t="s">
        <v>1051</v>
      </c>
      <c r="N293">
        <v>27536</v>
      </c>
      <c r="O293" t="s">
        <v>2395</v>
      </c>
      <c r="P293">
        <v>9195509642</v>
      </c>
      <c r="Q293" t="s">
        <v>2396</v>
      </c>
    </row>
    <row r="294" spans="1:17" x14ac:dyDescent="0.25">
      <c r="A294" s="3" t="str">
        <f t="shared" si="4"/>
        <v>243-Orion Energy Systems</v>
      </c>
      <c r="B294" s="3">
        <v>243</v>
      </c>
      <c r="C294" s="3" t="s">
        <v>2397</v>
      </c>
      <c r="D294" s="3" t="s">
        <v>2398</v>
      </c>
      <c r="E294" s="3"/>
      <c r="F294" s="3"/>
      <c r="G294" s="3" t="s">
        <v>2399</v>
      </c>
      <c r="H294" s="3" t="s">
        <v>2400</v>
      </c>
      <c r="I294" s="3" t="s">
        <v>2401</v>
      </c>
      <c r="J294" s="3" t="s">
        <v>2402</v>
      </c>
      <c r="L294" t="s">
        <v>2403</v>
      </c>
      <c r="M294" t="s">
        <v>2404</v>
      </c>
      <c r="N294">
        <v>54220</v>
      </c>
      <c r="O294" t="s">
        <v>2405</v>
      </c>
      <c r="Q294" t="s">
        <v>2406</v>
      </c>
    </row>
    <row r="295" spans="1:17" x14ac:dyDescent="0.25">
      <c r="A295" s="3" t="str">
        <f t="shared" si="4"/>
        <v>281-Orion Energy Systems</v>
      </c>
      <c r="B295" s="3">
        <v>281</v>
      </c>
      <c r="C295" s="3" t="s">
        <v>2407</v>
      </c>
      <c r="D295" s="3" t="s">
        <v>2398</v>
      </c>
      <c r="E295" s="3"/>
      <c r="F295" s="3"/>
      <c r="G295" s="3" t="s">
        <v>1137</v>
      </c>
      <c r="H295" s="3" t="s">
        <v>2408</v>
      </c>
      <c r="I295" s="3" t="s">
        <v>2409</v>
      </c>
      <c r="J295" s="3" t="s">
        <v>2410</v>
      </c>
      <c r="L295" t="s">
        <v>1168</v>
      </c>
      <c r="M295" t="s">
        <v>2404</v>
      </c>
      <c r="N295">
        <v>53073</v>
      </c>
      <c r="O295" t="s">
        <v>2411</v>
      </c>
      <c r="Q295" t="s">
        <v>2412</v>
      </c>
    </row>
    <row r="296" spans="1:17" x14ac:dyDescent="0.25">
      <c r="A296" s="3" t="str">
        <f t="shared" si="4"/>
        <v>482-Orion Southwest</v>
      </c>
      <c r="B296" s="3">
        <v>482</v>
      </c>
      <c r="C296" s="3" t="s">
        <v>2413</v>
      </c>
      <c r="D296" s="3" t="s">
        <v>2414</v>
      </c>
      <c r="E296" s="3"/>
      <c r="F296" s="3"/>
      <c r="G296" s="3" t="s">
        <v>2415</v>
      </c>
      <c r="H296" s="3" t="s">
        <v>2416</v>
      </c>
      <c r="I296" s="3" t="s">
        <v>68</v>
      </c>
      <c r="J296" s="3" t="s">
        <v>2417</v>
      </c>
      <c r="L296" t="s">
        <v>2418</v>
      </c>
      <c r="M296" t="s">
        <v>787</v>
      </c>
      <c r="N296">
        <v>85281</v>
      </c>
      <c r="O296" t="s">
        <v>2419</v>
      </c>
      <c r="P296" t="s">
        <v>2420</v>
      </c>
      <c r="Q296" t="s">
        <v>2421</v>
      </c>
    </row>
    <row r="297" spans="1:17" x14ac:dyDescent="0.25">
      <c r="A297" s="3" t="str">
        <f t="shared" si="4"/>
        <v>338-OxyVinyls, LP</v>
      </c>
      <c r="B297" s="3">
        <v>338</v>
      </c>
      <c r="C297" s="3" t="s">
        <v>2422</v>
      </c>
      <c r="D297" s="3" t="s">
        <v>2423</v>
      </c>
      <c r="E297" s="3"/>
      <c r="F297" s="3"/>
      <c r="G297" s="3" t="s">
        <v>1271</v>
      </c>
      <c r="H297" s="3" t="s">
        <v>2424</v>
      </c>
      <c r="I297" s="3" t="s">
        <v>2425</v>
      </c>
      <c r="J297" s="3" t="s">
        <v>2426</v>
      </c>
      <c r="L297" t="s">
        <v>22</v>
      </c>
      <c r="M297" t="s">
        <v>23</v>
      </c>
      <c r="N297">
        <v>77046</v>
      </c>
      <c r="O297" t="s">
        <v>2427</v>
      </c>
      <c r="P297" t="s">
        <v>2428</v>
      </c>
      <c r="Q297" t="s">
        <v>2429</v>
      </c>
    </row>
    <row r="298" spans="1:17" x14ac:dyDescent="0.25">
      <c r="A298" s="3" t="str">
        <f t="shared" si="4"/>
        <v>331-Parke Industries</v>
      </c>
      <c r="B298" s="3">
        <v>331</v>
      </c>
      <c r="C298" s="3" t="s">
        <v>2430</v>
      </c>
      <c r="D298" s="3" t="s">
        <v>2431</v>
      </c>
      <c r="E298" s="3" t="s">
        <v>657</v>
      </c>
      <c r="F298" s="3"/>
      <c r="G298" s="3" t="s">
        <v>2432</v>
      </c>
      <c r="H298" s="3" t="s">
        <v>2433</v>
      </c>
      <c r="I298" s="3" t="s">
        <v>390</v>
      </c>
      <c r="J298" s="3" t="s">
        <v>2434</v>
      </c>
      <c r="L298" t="s">
        <v>2435</v>
      </c>
      <c r="M298" t="s">
        <v>23</v>
      </c>
      <c r="N298">
        <v>78746</v>
      </c>
      <c r="O298" t="s">
        <v>2436</v>
      </c>
      <c r="P298" t="s">
        <v>2437</v>
      </c>
      <c r="Q298" t="s">
        <v>2438</v>
      </c>
    </row>
    <row r="299" spans="1:17" x14ac:dyDescent="0.25">
      <c r="A299" s="3" t="str">
        <f t="shared" si="4"/>
        <v xml:space="preserve">608-Parkway Chevrolet </v>
      </c>
      <c r="B299" s="3">
        <v>608</v>
      </c>
      <c r="C299" s="3" t="s">
        <v>2439</v>
      </c>
      <c r="D299" s="3" t="s">
        <v>2440</v>
      </c>
      <c r="E299" s="3"/>
      <c r="F299" s="3"/>
      <c r="G299" s="3" t="s">
        <v>2441</v>
      </c>
      <c r="H299" s="3" t="s">
        <v>2442</v>
      </c>
      <c r="I299" s="3" t="s">
        <v>2443</v>
      </c>
      <c r="J299" s="3" t="s">
        <v>2444</v>
      </c>
      <c r="L299" t="s">
        <v>2445</v>
      </c>
      <c r="M299" t="s">
        <v>23</v>
      </c>
      <c r="N299">
        <v>77375</v>
      </c>
      <c r="O299" t="s">
        <v>2446</v>
      </c>
      <c r="Q299" t="s">
        <v>2447</v>
      </c>
    </row>
    <row r="300" spans="1:17" x14ac:dyDescent="0.25">
      <c r="A300" s="3" t="str">
        <f t="shared" si="4"/>
        <v>433-Parkway Electric &amp; Communications</v>
      </c>
      <c r="B300" s="3">
        <v>433</v>
      </c>
      <c r="C300" s="3" t="s">
        <v>2448</v>
      </c>
      <c r="D300" s="3" t="s">
        <v>2449</v>
      </c>
      <c r="E300" s="3"/>
      <c r="F300" s="3"/>
      <c r="G300" s="3" t="s">
        <v>238</v>
      </c>
      <c r="H300" s="3" t="s">
        <v>2450</v>
      </c>
      <c r="I300" s="3" t="s">
        <v>1352</v>
      </c>
      <c r="J300" s="3" t="s">
        <v>2451</v>
      </c>
      <c r="L300" t="s">
        <v>2452</v>
      </c>
      <c r="M300" t="s">
        <v>382</v>
      </c>
      <c r="N300">
        <v>49424</v>
      </c>
      <c r="O300" t="s">
        <v>2453</v>
      </c>
      <c r="P300" t="s">
        <v>2454</v>
      </c>
      <c r="Q300" t="s">
        <v>2455</v>
      </c>
    </row>
    <row r="301" spans="1:17" x14ac:dyDescent="0.25">
      <c r="A301" s="3" t="str">
        <f t="shared" si="4"/>
        <v>318-Parkway Properties</v>
      </c>
      <c r="B301" s="3">
        <v>318</v>
      </c>
      <c r="C301" s="3" t="s">
        <v>2456</v>
      </c>
      <c r="D301" s="3" t="s">
        <v>2457</v>
      </c>
      <c r="E301" s="3"/>
      <c r="F301" s="3"/>
      <c r="G301" s="3" t="s">
        <v>2458</v>
      </c>
      <c r="H301" s="3" t="s">
        <v>2459</v>
      </c>
      <c r="I301" s="3" t="s">
        <v>68</v>
      </c>
      <c r="J301" s="3" t="s">
        <v>2460</v>
      </c>
      <c r="L301" t="s">
        <v>1736</v>
      </c>
      <c r="M301" t="s">
        <v>198</v>
      </c>
      <c r="N301">
        <v>19103</v>
      </c>
      <c r="O301" t="s">
        <v>1737</v>
      </c>
      <c r="P301">
        <v>2157320477</v>
      </c>
      <c r="Q301" t="s">
        <v>2461</v>
      </c>
    </row>
    <row r="302" spans="1:17" x14ac:dyDescent="0.25">
      <c r="A302" s="3" t="str">
        <f t="shared" si="4"/>
        <v>257-Performance Consulting Group</v>
      </c>
      <c r="B302" s="3">
        <v>257</v>
      </c>
      <c r="C302" s="3" t="s">
        <v>2462</v>
      </c>
      <c r="D302" s="3" t="s">
        <v>2463</v>
      </c>
      <c r="E302" s="3"/>
      <c r="F302" s="3"/>
      <c r="G302" s="3" t="s">
        <v>2464</v>
      </c>
      <c r="H302" s="3" t="s">
        <v>2465</v>
      </c>
      <c r="I302" s="3" t="s">
        <v>1292</v>
      </c>
      <c r="J302" s="3" t="s">
        <v>2466</v>
      </c>
      <c r="L302" t="s">
        <v>666</v>
      </c>
      <c r="M302" t="s">
        <v>1629</v>
      </c>
      <c r="N302">
        <v>73069</v>
      </c>
      <c r="O302" t="s">
        <v>2467</v>
      </c>
      <c r="P302" t="s">
        <v>2468</v>
      </c>
    </row>
    <row r="303" spans="1:17" x14ac:dyDescent="0.25">
      <c r="A303" s="3" t="str">
        <f t="shared" si="4"/>
        <v>355-Performance Roof Systems</v>
      </c>
      <c r="B303" s="3">
        <v>355</v>
      </c>
      <c r="C303" s="3" t="s">
        <v>2469</v>
      </c>
      <c r="D303" s="3" t="s">
        <v>2470</v>
      </c>
      <c r="E303" s="3"/>
      <c r="F303" s="3"/>
      <c r="G303" s="3" t="s">
        <v>2471</v>
      </c>
      <c r="H303" s="3" t="s">
        <v>2472</v>
      </c>
      <c r="I303" s="3" t="s">
        <v>2473</v>
      </c>
      <c r="J303" s="3" t="s">
        <v>2474</v>
      </c>
      <c r="L303" t="s">
        <v>2475</v>
      </c>
      <c r="M303" t="s">
        <v>921</v>
      </c>
      <c r="N303">
        <v>64130</v>
      </c>
      <c r="O303" t="s">
        <v>2476</v>
      </c>
      <c r="Q303" t="s">
        <v>2477</v>
      </c>
    </row>
    <row r="304" spans="1:17" x14ac:dyDescent="0.25">
      <c r="A304" s="3" t="str">
        <f t="shared" si="4"/>
        <v>387-Piping Technology &amp; Products, Inc</v>
      </c>
      <c r="B304" s="3">
        <v>387</v>
      </c>
      <c r="C304" s="3" t="s">
        <v>2478</v>
      </c>
      <c r="D304" s="3" t="s">
        <v>2479</v>
      </c>
      <c r="E304" s="3" t="s">
        <v>2480</v>
      </c>
      <c r="F304" s="3">
        <v>1741986666</v>
      </c>
      <c r="G304" s="3" t="s">
        <v>2481</v>
      </c>
      <c r="H304" s="3" t="s">
        <v>2482</v>
      </c>
      <c r="I304" s="3" t="s">
        <v>2483</v>
      </c>
      <c r="J304" s="3" t="s">
        <v>2484</v>
      </c>
      <c r="K304" t="s">
        <v>2485</v>
      </c>
      <c r="L304" t="s">
        <v>22</v>
      </c>
      <c r="M304" t="s">
        <v>23</v>
      </c>
      <c r="N304">
        <v>77051</v>
      </c>
      <c r="O304" t="s">
        <v>2486</v>
      </c>
      <c r="P304" t="s">
        <v>2487</v>
      </c>
      <c r="Q304" t="s">
        <v>2488</v>
      </c>
    </row>
    <row r="305" spans="1:17" x14ac:dyDescent="0.25">
      <c r="A305" s="3" t="str">
        <f t="shared" si="4"/>
        <v>564-PMG Energy Solutions</v>
      </c>
      <c r="B305" s="3">
        <v>564</v>
      </c>
      <c r="C305" s="3" t="s">
        <v>2489</v>
      </c>
      <c r="D305" s="3" t="s">
        <v>2490</v>
      </c>
      <c r="E305" s="3" t="s">
        <v>2491</v>
      </c>
      <c r="F305" s="3" t="s">
        <v>2489</v>
      </c>
      <c r="G305" s="3" t="s">
        <v>2492</v>
      </c>
      <c r="H305" s="3" t="s">
        <v>2493</v>
      </c>
      <c r="I305" s="3" t="s">
        <v>114</v>
      </c>
      <c r="J305" s="3" t="s">
        <v>2494</v>
      </c>
      <c r="K305" t="s">
        <v>2495</v>
      </c>
      <c r="L305" t="s">
        <v>22</v>
      </c>
      <c r="M305" t="s">
        <v>23</v>
      </c>
      <c r="N305">
        <v>77009</v>
      </c>
      <c r="O305" t="s">
        <v>2496</v>
      </c>
      <c r="P305" t="s">
        <v>2497</v>
      </c>
      <c r="Q305" t="s">
        <v>2498</v>
      </c>
    </row>
    <row r="306" spans="1:17" x14ac:dyDescent="0.25">
      <c r="A306" s="3" t="str">
        <f t="shared" si="4"/>
        <v>395-Prism Electric</v>
      </c>
      <c r="B306" s="3">
        <v>395</v>
      </c>
      <c r="C306" s="3" t="s">
        <v>2499</v>
      </c>
      <c r="D306" s="3" t="s">
        <v>2500</v>
      </c>
      <c r="E306" s="3"/>
      <c r="F306" s="3" t="s">
        <v>2499</v>
      </c>
      <c r="G306" s="3" t="s">
        <v>675</v>
      </c>
      <c r="H306" s="3" t="s">
        <v>676</v>
      </c>
      <c r="I306" s="3" t="s">
        <v>677</v>
      </c>
      <c r="J306" s="3" t="s">
        <v>2501</v>
      </c>
      <c r="L306" t="s">
        <v>22</v>
      </c>
      <c r="M306" t="s">
        <v>23</v>
      </c>
      <c r="N306">
        <v>77018</v>
      </c>
      <c r="O306" t="s">
        <v>2502</v>
      </c>
      <c r="P306" t="s">
        <v>2141</v>
      </c>
      <c r="Q306" t="s">
        <v>2503</v>
      </c>
    </row>
    <row r="307" spans="1:17" x14ac:dyDescent="0.25">
      <c r="A307" s="3" t="str">
        <f t="shared" si="4"/>
        <v>377-Project Solutions Companies</v>
      </c>
      <c r="B307" s="3">
        <v>377</v>
      </c>
      <c r="C307" s="3" t="s">
        <v>2504</v>
      </c>
      <c r="D307" s="3" t="s">
        <v>2505</v>
      </c>
      <c r="E307" s="3" t="s">
        <v>265</v>
      </c>
      <c r="F307" s="3"/>
      <c r="G307" s="3" t="s">
        <v>2506</v>
      </c>
      <c r="H307" s="3" t="s">
        <v>313</v>
      </c>
      <c r="I307" s="3" t="s">
        <v>2507</v>
      </c>
      <c r="J307" s="3" t="s">
        <v>2508</v>
      </c>
      <c r="K307" t="s">
        <v>2509</v>
      </c>
      <c r="L307" t="s">
        <v>2510</v>
      </c>
      <c r="M307" t="s">
        <v>921</v>
      </c>
      <c r="N307">
        <v>65203</v>
      </c>
      <c r="O307" t="s">
        <v>2511</v>
      </c>
      <c r="P307" t="s">
        <v>2512</v>
      </c>
      <c r="Q307" t="s">
        <v>2513</v>
      </c>
    </row>
    <row r="308" spans="1:17" x14ac:dyDescent="0.25">
      <c r="A308" s="3" t="str">
        <f t="shared" si="4"/>
        <v>308-Pure Power Group</v>
      </c>
      <c r="B308" s="3">
        <v>308</v>
      </c>
      <c r="C308" s="3" t="s">
        <v>2514</v>
      </c>
      <c r="D308" s="3" t="s">
        <v>2515</v>
      </c>
      <c r="E308" s="3"/>
      <c r="F308" s="3"/>
      <c r="G308" s="3" t="s">
        <v>2356</v>
      </c>
      <c r="H308" s="3" t="s">
        <v>2516</v>
      </c>
      <c r="I308" s="3" t="s">
        <v>436</v>
      </c>
      <c r="J308" s="3" t="s">
        <v>2517</v>
      </c>
      <c r="K308" t="s">
        <v>2518</v>
      </c>
      <c r="L308" t="s">
        <v>2519</v>
      </c>
      <c r="M308" t="s">
        <v>23</v>
      </c>
      <c r="N308">
        <v>76092</v>
      </c>
      <c r="O308" t="s">
        <v>2520</v>
      </c>
      <c r="P308" t="s">
        <v>2521</v>
      </c>
      <c r="Q308" t="s">
        <v>2522</v>
      </c>
    </row>
    <row r="309" spans="1:17" x14ac:dyDescent="0.25">
      <c r="A309" s="3" t="str">
        <f t="shared" si="4"/>
        <v>629-Rapid Power Management</v>
      </c>
      <c r="B309" s="7">
        <v>629</v>
      </c>
      <c r="D309" s="7" t="s">
        <v>2523</v>
      </c>
      <c r="G309" t="s">
        <v>2524</v>
      </c>
      <c r="H309" t="s">
        <v>2525</v>
      </c>
      <c r="J309" t="s">
        <v>2526</v>
      </c>
      <c r="L309" t="s">
        <v>439</v>
      </c>
      <c r="M309" t="s">
        <v>23</v>
      </c>
      <c r="N309">
        <v>75287</v>
      </c>
      <c r="O309" s="8" t="s">
        <v>2527</v>
      </c>
      <c r="Q309" t="s">
        <v>2528</v>
      </c>
    </row>
    <row r="310" spans="1:17" x14ac:dyDescent="0.25">
      <c r="A310" s="3" t="str">
        <f t="shared" si="4"/>
        <v>373-raw electrical services llc</v>
      </c>
      <c r="B310" s="3">
        <v>373</v>
      </c>
      <c r="C310" s="3" t="s">
        <v>2529</v>
      </c>
      <c r="D310" s="3" t="s">
        <v>2530</v>
      </c>
      <c r="E310" s="3"/>
      <c r="F310" s="3"/>
      <c r="G310" s="3" t="s">
        <v>2531</v>
      </c>
      <c r="H310" s="3" t="s">
        <v>2532</v>
      </c>
      <c r="I310" s="3" t="s">
        <v>2533</v>
      </c>
      <c r="J310" s="3" t="s">
        <v>2534</v>
      </c>
      <c r="L310" t="s">
        <v>2535</v>
      </c>
      <c r="M310" t="s">
        <v>23</v>
      </c>
      <c r="N310">
        <v>77396</v>
      </c>
      <c r="O310" t="s">
        <v>2536</v>
      </c>
      <c r="P310">
        <v>7134331425</v>
      </c>
      <c r="Q310" t="s">
        <v>2537</v>
      </c>
    </row>
    <row r="311" spans="1:17" x14ac:dyDescent="0.25">
      <c r="A311" s="3" t="str">
        <f t="shared" si="4"/>
        <v>398-Reagan Quality Lamps, Inc.</v>
      </c>
      <c r="B311" s="3">
        <v>398</v>
      </c>
      <c r="C311" s="3" t="s">
        <v>2538</v>
      </c>
      <c r="D311" s="3" t="s">
        <v>2539</v>
      </c>
      <c r="E311" s="3" t="s">
        <v>2540</v>
      </c>
      <c r="F311" s="3" t="s">
        <v>2541</v>
      </c>
      <c r="G311" s="3" t="s">
        <v>2542</v>
      </c>
      <c r="H311" s="3" t="s">
        <v>2543</v>
      </c>
      <c r="I311" s="3" t="s">
        <v>2544</v>
      </c>
      <c r="J311" s="3" t="s">
        <v>2545</v>
      </c>
      <c r="L311" t="s">
        <v>2546</v>
      </c>
      <c r="M311" t="s">
        <v>23</v>
      </c>
      <c r="N311" t="s">
        <v>2547</v>
      </c>
      <c r="O311" t="s">
        <v>2548</v>
      </c>
      <c r="P311" t="s">
        <v>2549</v>
      </c>
      <c r="Q311" t="s">
        <v>2550</v>
      </c>
    </row>
    <row r="312" spans="1:17" x14ac:dyDescent="0.25">
      <c r="A312" s="3" t="str">
        <f t="shared" si="4"/>
        <v>233-RealWinWin, Inc.</v>
      </c>
      <c r="B312" s="3">
        <v>233</v>
      </c>
      <c r="C312" s="3" t="s">
        <v>2551</v>
      </c>
      <c r="D312" s="3" t="s">
        <v>2552</v>
      </c>
      <c r="E312" s="3"/>
      <c r="F312" s="3"/>
      <c r="G312" s="5" t="s">
        <v>2553</v>
      </c>
      <c r="H312" s="5" t="s">
        <v>2554</v>
      </c>
      <c r="I312" s="5" t="s">
        <v>2555</v>
      </c>
      <c r="J312" s="6" t="s">
        <v>2556</v>
      </c>
      <c r="K312" t="s">
        <v>1735</v>
      </c>
      <c r="L312" t="s">
        <v>1736</v>
      </c>
      <c r="M312" t="s">
        <v>198</v>
      </c>
      <c r="N312">
        <v>19103</v>
      </c>
      <c r="O312" t="s">
        <v>1737</v>
      </c>
      <c r="P312" t="s">
        <v>2557</v>
      </c>
      <c r="Q312" s="6" t="s">
        <v>2558</v>
      </c>
    </row>
    <row r="313" spans="1:17" x14ac:dyDescent="0.25">
      <c r="A313" s="3" t="str">
        <f t="shared" si="4"/>
        <v>221-Redding Linden Burr Consulting Engineers</v>
      </c>
      <c r="B313" s="3">
        <v>221</v>
      </c>
      <c r="C313" s="3" t="s">
        <v>2559</v>
      </c>
      <c r="D313" s="3" t="s">
        <v>2560</v>
      </c>
      <c r="E313" s="3"/>
      <c r="F313" s="3" t="s">
        <v>2559</v>
      </c>
      <c r="G313" s="3" t="s">
        <v>1967</v>
      </c>
      <c r="H313" s="3" t="s">
        <v>2561</v>
      </c>
      <c r="I313" s="3" t="s">
        <v>436</v>
      </c>
      <c r="J313" s="3" t="s">
        <v>69</v>
      </c>
      <c r="K313" t="s">
        <v>2562</v>
      </c>
      <c r="L313" t="s">
        <v>22</v>
      </c>
      <c r="M313" t="s">
        <v>23</v>
      </c>
      <c r="N313">
        <v>77002</v>
      </c>
      <c r="O313" t="s">
        <v>2563</v>
      </c>
      <c r="P313" t="s">
        <v>2564</v>
      </c>
      <c r="Q313" t="s">
        <v>2565</v>
      </c>
    </row>
    <row r="314" spans="1:17" x14ac:dyDescent="0.25">
      <c r="A314" s="3" t="str">
        <f t="shared" si="4"/>
        <v>428-Regency Lighting</v>
      </c>
      <c r="B314" s="3">
        <v>428</v>
      </c>
      <c r="C314" s="3" t="s">
        <v>2566</v>
      </c>
      <c r="D314" s="3" t="s">
        <v>2567</v>
      </c>
      <c r="E314" s="3"/>
      <c r="F314" s="3"/>
      <c r="G314" s="3" t="s">
        <v>2568</v>
      </c>
      <c r="H314" s="3" t="s">
        <v>2569</v>
      </c>
      <c r="I314" s="3" t="s">
        <v>1058</v>
      </c>
      <c r="J314" s="3" t="s">
        <v>2570</v>
      </c>
      <c r="L314" t="s">
        <v>2571</v>
      </c>
      <c r="M314" t="s">
        <v>155</v>
      </c>
      <c r="N314">
        <v>91311</v>
      </c>
      <c r="O314" t="s">
        <v>2572</v>
      </c>
      <c r="Q314" t="s">
        <v>2573</v>
      </c>
    </row>
    <row r="315" spans="1:17" x14ac:dyDescent="0.25">
      <c r="A315" s="3" t="str">
        <f t="shared" si="4"/>
        <v>597-Reliable Energy Solutions</v>
      </c>
      <c r="B315" s="3">
        <v>597</v>
      </c>
      <c r="C315" s="3" t="s">
        <v>2574</v>
      </c>
      <c r="D315" s="3" t="s">
        <v>2575</v>
      </c>
      <c r="E315" s="3"/>
      <c r="F315" s="3"/>
      <c r="G315" s="3" t="s">
        <v>2576</v>
      </c>
      <c r="H315" s="3" t="s">
        <v>2577</v>
      </c>
      <c r="I315" s="3" t="s">
        <v>78</v>
      </c>
      <c r="J315" s="3" t="s">
        <v>2578</v>
      </c>
      <c r="L315" t="s">
        <v>2579</v>
      </c>
      <c r="M315" t="s">
        <v>155</v>
      </c>
      <c r="N315">
        <v>91702</v>
      </c>
      <c r="O315" t="s">
        <v>2580</v>
      </c>
      <c r="Q315" t="s">
        <v>2581</v>
      </c>
    </row>
    <row r="316" spans="1:17" x14ac:dyDescent="0.25">
      <c r="A316" s="3" t="str">
        <f t="shared" si="4"/>
        <v>505-Retro Lighting &amp; Conservation</v>
      </c>
      <c r="B316" s="3">
        <v>505</v>
      </c>
      <c r="C316" s="3" t="s">
        <v>2582</v>
      </c>
      <c r="D316" s="3" t="s">
        <v>2583</v>
      </c>
      <c r="E316" s="3"/>
      <c r="F316" s="3"/>
      <c r="G316" s="3" t="s">
        <v>730</v>
      </c>
      <c r="H316" s="3" t="s">
        <v>2584</v>
      </c>
      <c r="I316" s="3" t="s">
        <v>2585</v>
      </c>
      <c r="J316" s="3" t="s">
        <v>2586</v>
      </c>
      <c r="L316" t="s">
        <v>1767</v>
      </c>
      <c r="M316" t="s">
        <v>23</v>
      </c>
      <c r="N316">
        <v>77479</v>
      </c>
      <c r="O316" t="s">
        <v>2587</v>
      </c>
      <c r="P316" t="s">
        <v>2588</v>
      </c>
      <c r="Q316" t="s">
        <v>2589</v>
      </c>
    </row>
    <row r="317" spans="1:17" x14ac:dyDescent="0.25">
      <c r="A317" s="3" t="str">
        <f t="shared" si="4"/>
        <v>384-REXEL USA</v>
      </c>
      <c r="B317" s="3">
        <v>384</v>
      </c>
      <c r="C317" s="3" t="s">
        <v>1431</v>
      </c>
      <c r="D317" s="3" t="s">
        <v>2590</v>
      </c>
      <c r="E317" s="3"/>
      <c r="F317" s="3"/>
      <c r="G317" s="5" t="s">
        <v>2591</v>
      </c>
      <c r="H317" s="5" t="s">
        <v>2592</v>
      </c>
      <c r="I317" s="3" t="s">
        <v>2593</v>
      </c>
      <c r="J317" s="5" t="s">
        <v>2594</v>
      </c>
      <c r="L317" t="s">
        <v>134</v>
      </c>
      <c r="M317" t="s">
        <v>23</v>
      </c>
      <c r="N317">
        <v>75007</v>
      </c>
      <c r="O317" t="s">
        <v>2595</v>
      </c>
      <c r="P317" t="s">
        <v>2596</v>
      </c>
      <c r="Q317" s="9" t="s">
        <v>2597</v>
      </c>
    </row>
    <row r="318" spans="1:17" x14ac:dyDescent="0.25">
      <c r="A318" s="3" t="str">
        <f t="shared" si="4"/>
        <v>587-Ringdale, Inc.</v>
      </c>
      <c r="B318" s="3">
        <v>587</v>
      </c>
      <c r="C318" s="3" t="s">
        <v>2598</v>
      </c>
      <c r="D318" s="3" t="s">
        <v>2599</v>
      </c>
      <c r="E318" s="3"/>
      <c r="F318" s="3" t="s">
        <v>2598</v>
      </c>
      <c r="G318" s="3" t="s">
        <v>349</v>
      </c>
      <c r="H318" s="3" t="s">
        <v>2046</v>
      </c>
      <c r="I318" s="3" t="s">
        <v>2600</v>
      </c>
      <c r="J318" s="3" t="s">
        <v>2601</v>
      </c>
      <c r="L318" t="s">
        <v>1221</v>
      </c>
      <c r="M318" t="s">
        <v>23</v>
      </c>
      <c r="N318">
        <v>78628</v>
      </c>
      <c r="O318" t="s">
        <v>2602</v>
      </c>
      <c r="Q318" t="s">
        <v>2603</v>
      </c>
    </row>
    <row r="319" spans="1:17" x14ac:dyDescent="0.25">
      <c r="A319" s="3" t="str">
        <f t="shared" si="4"/>
        <v>451-ROGERS ELECTRIC</v>
      </c>
      <c r="B319" s="3">
        <v>451</v>
      </c>
      <c r="C319" s="3" t="s">
        <v>2604</v>
      </c>
      <c r="D319" s="3" t="s">
        <v>2605</v>
      </c>
      <c r="E319" s="3"/>
      <c r="F319" s="3" t="s">
        <v>2604</v>
      </c>
      <c r="G319" s="3" t="s">
        <v>2606</v>
      </c>
      <c r="H319" s="3" t="s">
        <v>2607</v>
      </c>
      <c r="I319" s="3" t="s">
        <v>2608</v>
      </c>
      <c r="J319" s="3" t="s">
        <v>2609</v>
      </c>
      <c r="L319" t="s">
        <v>2610</v>
      </c>
      <c r="M319" t="s">
        <v>2260</v>
      </c>
      <c r="N319">
        <v>30005</v>
      </c>
      <c r="O319" t="s">
        <v>2611</v>
      </c>
      <c r="P319" t="s">
        <v>2612</v>
      </c>
      <c r="Q319" t="s">
        <v>2613</v>
      </c>
    </row>
    <row r="320" spans="1:17" x14ac:dyDescent="0.25">
      <c r="A320" s="3" t="str">
        <f t="shared" si="4"/>
        <v>458-Rooftop Energy Solutions</v>
      </c>
      <c r="B320" s="3">
        <v>458</v>
      </c>
      <c r="C320" s="3" t="s">
        <v>2614</v>
      </c>
      <c r="D320" s="3" t="s">
        <v>2615</v>
      </c>
      <c r="E320" s="3"/>
      <c r="F320" s="3"/>
      <c r="G320" s="3" t="s">
        <v>30</v>
      </c>
      <c r="H320" s="3" t="s">
        <v>2616</v>
      </c>
      <c r="I320" s="3" t="s">
        <v>185</v>
      </c>
      <c r="J320" s="3" t="s">
        <v>2617</v>
      </c>
      <c r="L320" t="s">
        <v>2618</v>
      </c>
      <c r="M320" t="s">
        <v>23</v>
      </c>
      <c r="N320">
        <v>77346</v>
      </c>
      <c r="O320" t="s">
        <v>2619</v>
      </c>
      <c r="Q320" t="s">
        <v>2620</v>
      </c>
    </row>
    <row r="321" spans="1:17" x14ac:dyDescent="0.25">
      <c r="A321" s="3" t="str">
        <f t="shared" si="4"/>
        <v>396-Rose Lighting Services</v>
      </c>
      <c r="B321" s="3">
        <v>396</v>
      </c>
      <c r="C321" s="3" t="s">
        <v>2621</v>
      </c>
      <c r="D321" s="3" t="s">
        <v>2622</v>
      </c>
      <c r="E321" s="3"/>
      <c r="F321" s="3"/>
      <c r="G321" s="3" t="s">
        <v>1009</v>
      </c>
      <c r="H321" s="3" t="s">
        <v>1085</v>
      </c>
      <c r="I321" s="3" t="s">
        <v>436</v>
      </c>
      <c r="J321" s="3" t="s">
        <v>2623</v>
      </c>
      <c r="L321" t="s">
        <v>605</v>
      </c>
      <c r="M321" t="s">
        <v>23</v>
      </c>
      <c r="N321">
        <v>77379</v>
      </c>
      <c r="O321" t="s">
        <v>2624</v>
      </c>
      <c r="Q321" t="s">
        <v>2625</v>
      </c>
    </row>
    <row r="322" spans="1:17" x14ac:dyDescent="0.25">
      <c r="A322" s="3" t="str">
        <f t="shared" ref="A322:A331" si="5">IF(B322="","",B322&amp;"-"&amp;D322)</f>
        <v>341-Ross Stores</v>
      </c>
      <c r="B322" s="3">
        <v>341</v>
      </c>
      <c r="C322" s="3" t="s">
        <v>2626</v>
      </c>
      <c r="D322" s="3" t="s">
        <v>2627</v>
      </c>
      <c r="E322" s="3" t="s">
        <v>2627</v>
      </c>
      <c r="F322" s="3" t="s">
        <v>2626</v>
      </c>
      <c r="G322" s="3" t="s">
        <v>2628</v>
      </c>
      <c r="H322" s="3" t="s">
        <v>2629</v>
      </c>
      <c r="I322" s="3" t="s">
        <v>1618</v>
      </c>
      <c r="J322" s="3" t="s">
        <v>2630</v>
      </c>
      <c r="L322" t="s">
        <v>1736</v>
      </c>
      <c r="M322" t="s">
        <v>198</v>
      </c>
      <c r="N322">
        <v>19103</v>
      </c>
      <c r="O322" t="s">
        <v>1737</v>
      </c>
      <c r="Q322" t="s">
        <v>2631</v>
      </c>
    </row>
    <row r="323" spans="1:17" x14ac:dyDescent="0.25">
      <c r="A323" s="3" t="str">
        <f t="shared" si="5"/>
        <v>301-RWW / Dillards, Inc</v>
      </c>
      <c r="B323" s="3">
        <v>301</v>
      </c>
      <c r="C323" s="3" t="s">
        <v>2632</v>
      </c>
      <c r="D323" s="3" t="s">
        <v>2633</v>
      </c>
      <c r="E323" s="3"/>
      <c r="F323" s="3"/>
      <c r="G323" s="3" t="s">
        <v>2634</v>
      </c>
      <c r="H323" s="3" t="s">
        <v>2635</v>
      </c>
      <c r="I323" s="3" t="s">
        <v>2636</v>
      </c>
      <c r="J323" s="3" t="s">
        <v>2637</v>
      </c>
      <c r="L323" t="s">
        <v>2638</v>
      </c>
      <c r="M323" t="s">
        <v>1756</v>
      </c>
      <c r="N323">
        <v>72201</v>
      </c>
      <c r="O323" t="s">
        <v>1737</v>
      </c>
      <c r="P323">
        <v>2157320477</v>
      </c>
      <c r="Q323" t="s">
        <v>2461</v>
      </c>
    </row>
    <row r="324" spans="1:17" x14ac:dyDescent="0.25">
      <c r="A324" s="3" t="str">
        <f t="shared" si="5"/>
        <v>295-RWW / Kohl's Department Stores, Inc.</v>
      </c>
      <c r="B324" s="3">
        <v>295</v>
      </c>
      <c r="C324" s="3" t="s">
        <v>2639</v>
      </c>
      <c r="D324" s="3" t="s">
        <v>2640</v>
      </c>
      <c r="E324" s="3"/>
      <c r="F324" s="3"/>
      <c r="G324" s="3" t="s">
        <v>2458</v>
      </c>
      <c r="H324" s="3" t="s">
        <v>2459</v>
      </c>
      <c r="I324" s="3" t="s">
        <v>68</v>
      </c>
      <c r="J324" s="3" t="s">
        <v>2364</v>
      </c>
      <c r="L324" t="s">
        <v>1736</v>
      </c>
      <c r="M324" t="s">
        <v>198</v>
      </c>
      <c r="N324">
        <v>19103</v>
      </c>
      <c r="O324" t="s">
        <v>1737</v>
      </c>
      <c r="P324">
        <v>2157320477</v>
      </c>
      <c r="Q324" t="s">
        <v>2461</v>
      </c>
    </row>
    <row r="325" spans="1:17" x14ac:dyDescent="0.25">
      <c r="A325" s="3" t="str">
        <f t="shared" si="5"/>
        <v>294-RWW / Office Depot</v>
      </c>
      <c r="B325" s="3">
        <v>294</v>
      </c>
      <c r="C325" s="3" t="s">
        <v>2641</v>
      </c>
      <c r="D325" s="3" t="s">
        <v>2642</v>
      </c>
      <c r="E325" s="3"/>
      <c r="F325" s="3"/>
      <c r="G325" s="3" t="s">
        <v>2458</v>
      </c>
      <c r="H325" s="3" t="s">
        <v>2459</v>
      </c>
      <c r="I325" s="3" t="s">
        <v>68</v>
      </c>
      <c r="J325" s="3" t="s">
        <v>2364</v>
      </c>
      <c r="L325" t="s">
        <v>2643</v>
      </c>
      <c r="M325" t="s">
        <v>198</v>
      </c>
      <c r="N325">
        <v>19103</v>
      </c>
      <c r="O325" t="s">
        <v>1737</v>
      </c>
      <c r="P325">
        <v>2157320477</v>
      </c>
      <c r="Q325" t="s">
        <v>2461</v>
      </c>
    </row>
    <row r="326" spans="1:17" x14ac:dyDescent="0.25">
      <c r="A326" s="3" t="str">
        <f t="shared" si="5"/>
        <v>296-RWW / Ross Stores Inc.</v>
      </c>
      <c r="B326" s="3">
        <v>296</v>
      </c>
      <c r="C326" s="3" t="s">
        <v>2644</v>
      </c>
      <c r="D326" s="3" t="s">
        <v>2645</v>
      </c>
      <c r="E326" s="3"/>
      <c r="F326" s="3"/>
      <c r="G326" s="3" t="s">
        <v>2458</v>
      </c>
      <c r="H326" s="3" t="s">
        <v>2459</v>
      </c>
      <c r="I326" s="3" t="s">
        <v>68</v>
      </c>
      <c r="J326" s="3" t="s">
        <v>2364</v>
      </c>
      <c r="L326" t="s">
        <v>1736</v>
      </c>
      <c r="M326" t="s">
        <v>198</v>
      </c>
      <c r="N326">
        <v>19103</v>
      </c>
      <c r="O326" t="s">
        <v>1737</v>
      </c>
      <c r="P326">
        <v>2157320477</v>
      </c>
      <c r="Q326" t="s">
        <v>2461</v>
      </c>
    </row>
    <row r="327" spans="1:17" x14ac:dyDescent="0.25">
      <c r="A327" s="3" t="str">
        <f t="shared" si="5"/>
        <v>298-RWW / Walgreens Co</v>
      </c>
      <c r="B327" s="3">
        <v>298</v>
      </c>
      <c r="C327" s="3" t="s">
        <v>2646</v>
      </c>
      <c r="D327" s="3" t="s">
        <v>2647</v>
      </c>
      <c r="E327" s="3"/>
      <c r="F327" s="3"/>
      <c r="G327" s="3" t="s">
        <v>2458</v>
      </c>
      <c r="H327" s="3" t="s">
        <v>2459</v>
      </c>
      <c r="I327" s="3" t="s">
        <v>68</v>
      </c>
      <c r="J327" s="3" t="s">
        <v>2364</v>
      </c>
      <c r="L327" t="s">
        <v>1736</v>
      </c>
      <c r="M327" t="s">
        <v>198</v>
      </c>
      <c r="N327">
        <v>19103</v>
      </c>
      <c r="O327" t="s">
        <v>1737</v>
      </c>
      <c r="P327" t="s">
        <v>1738</v>
      </c>
      <c r="Q327" t="s">
        <v>2461</v>
      </c>
    </row>
    <row r="328" spans="1:17" x14ac:dyDescent="0.25">
      <c r="A328" s="3" t="str">
        <f t="shared" si="5"/>
        <v>288-Safeway, Inc.</v>
      </c>
      <c r="B328" s="3">
        <v>288</v>
      </c>
      <c r="C328" s="3" t="s">
        <v>2648</v>
      </c>
      <c r="D328" s="3" t="s">
        <v>2649</v>
      </c>
      <c r="E328" s="3" t="s">
        <v>2649</v>
      </c>
      <c r="F328" s="3" t="s">
        <v>2648</v>
      </c>
      <c r="G328" s="3" t="s">
        <v>1161</v>
      </c>
      <c r="H328" s="3" t="s">
        <v>1152</v>
      </c>
      <c r="I328" s="3" t="s">
        <v>258</v>
      </c>
      <c r="J328" s="3" t="s">
        <v>2650</v>
      </c>
      <c r="K328" t="s">
        <v>2651</v>
      </c>
      <c r="L328" t="s">
        <v>1155</v>
      </c>
      <c r="M328" t="s">
        <v>327</v>
      </c>
      <c r="N328">
        <v>2639</v>
      </c>
      <c r="O328" t="s">
        <v>1156</v>
      </c>
      <c r="P328" t="s">
        <v>1157</v>
      </c>
      <c r="Q328" t="s">
        <v>2652</v>
      </c>
    </row>
    <row r="329" spans="1:17" x14ac:dyDescent="0.25">
      <c r="A329" s="3" t="str">
        <f t="shared" si="5"/>
        <v>542-SALEM LUTHERAN CHURCH</v>
      </c>
      <c r="B329" s="3">
        <v>542</v>
      </c>
      <c r="C329" s="3" t="s">
        <v>2653</v>
      </c>
      <c r="D329" s="3" t="s">
        <v>2654</v>
      </c>
      <c r="E329" s="3"/>
      <c r="F329" s="3" t="s">
        <v>2653</v>
      </c>
      <c r="G329" s="3" t="s">
        <v>2655</v>
      </c>
      <c r="H329" s="3" t="s">
        <v>2656</v>
      </c>
      <c r="I329" s="3" t="s">
        <v>2657</v>
      </c>
      <c r="J329" s="3" t="s">
        <v>2658</v>
      </c>
      <c r="L329" t="s">
        <v>2659</v>
      </c>
      <c r="M329" t="s">
        <v>23</v>
      </c>
      <c r="N329">
        <v>77377</v>
      </c>
      <c r="O329" t="s">
        <v>2660</v>
      </c>
      <c r="Q329" t="s">
        <v>2661</v>
      </c>
    </row>
    <row r="330" spans="1:17" x14ac:dyDescent="0.25">
      <c r="A330" s="3" t="str">
        <f t="shared" si="5"/>
        <v>609-Salem Town &amp; Country Leather-Houston, Inc</v>
      </c>
      <c r="B330" s="3">
        <v>609</v>
      </c>
      <c r="C330" s="3" t="s">
        <v>2662</v>
      </c>
      <c r="D330" s="3" t="s">
        <v>2663</v>
      </c>
      <c r="E330" s="3"/>
      <c r="F330" s="3"/>
      <c r="G330" s="3" t="s">
        <v>2664</v>
      </c>
      <c r="H330" s="3" t="s">
        <v>1530</v>
      </c>
      <c r="I330" s="3" t="s">
        <v>2585</v>
      </c>
      <c r="J330" s="3" t="s">
        <v>2665</v>
      </c>
      <c r="L330" t="s">
        <v>22</v>
      </c>
      <c r="M330" t="s">
        <v>23</v>
      </c>
      <c r="N330">
        <v>77056</v>
      </c>
      <c r="O330" t="s">
        <v>2666</v>
      </c>
      <c r="P330" t="s">
        <v>2667</v>
      </c>
      <c r="Q330" t="s">
        <v>2668</v>
      </c>
    </row>
    <row r="331" spans="1:17" x14ac:dyDescent="0.25">
      <c r="A331" s="3" t="str">
        <f t="shared" si="5"/>
        <v>248-Schneider Electric Buildings Americas, Inc.</v>
      </c>
      <c r="B331" s="3">
        <v>248</v>
      </c>
      <c r="C331" s="3" t="s">
        <v>2669</v>
      </c>
      <c r="D331" s="3" t="s">
        <v>2670</v>
      </c>
      <c r="E331" s="3"/>
      <c r="F331" s="3"/>
      <c r="G331" s="3" t="s">
        <v>1497</v>
      </c>
      <c r="H331" s="3" t="s">
        <v>2671</v>
      </c>
      <c r="I331" s="3" t="s">
        <v>2672</v>
      </c>
      <c r="J331" s="3" t="s">
        <v>2673</v>
      </c>
      <c r="L331" t="s">
        <v>134</v>
      </c>
      <c r="M331" t="s">
        <v>23</v>
      </c>
      <c r="N331">
        <v>75006</v>
      </c>
      <c r="O331" t="s">
        <v>2674</v>
      </c>
      <c r="P331" t="s">
        <v>2675</v>
      </c>
      <c r="Q331" t="s">
        <v>2676</v>
      </c>
    </row>
    <row r="332" spans="1:17" x14ac:dyDescent="0.25">
      <c r="A332" s="5" t="s">
        <v>2677</v>
      </c>
      <c r="B332">
        <v>636</v>
      </c>
      <c r="D332" t="s">
        <v>2678</v>
      </c>
      <c r="G332" t="s">
        <v>2679</v>
      </c>
      <c r="H332" t="s">
        <v>2680</v>
      </c>
      <c r="I332" t="s">
        <v>2681</v>
      </c>
      <c r="J332" t="s">
        <v>2682</v>
      </c>
      <c r="L332" t="s">
        <v>2683</v>
      </c>
      <c r="M332" t="s">
        <v>23</v>
      </c>
      <c r="N332">
        <v>77536</v>
      </c>
      <c r="O332" t="s">
        <v>2684</v>
      </c>
      <c r="Q332" t="s">
        <v>2685</v>
      </c>
    </row>
    <row r="333" spans="1:17" x14ac:dyDescent="0.25">
      <c r="A333" s="3" t="str">
        <f t="shared" ref="A333:A396" si="6">IF(B333="","",B333&amp;"-"&amp;D333)</f>
        <v>557-Seahurst Electric</v>
      </c>
      <c r="B333" s="3">
        <v>557</v>
      </c>
      <c r="C333" s="3" t="s">
        <v>2686</v>
      </c>
      <c r="D333" s="3" t="s">
        <v>2687</v>
      </c>
      <c r="E333" s="3"/>
      <c r="F333" s="3"/>
      <c r="G333" s="3" t="s">
        <v>738</v>
      </c>
      <c r="H333" s="3" t="s">
        <v>1510</v>
      </c>
      <c r="I333" s="3" t="s">
        <v>68</v>
      </c>
      <c r="J333" s="3" t="s">
        <v>2688</v>
      </c>
      <c r="L333" t="s">
        <v>2689</v>
      </c>
      <c r="M333" t="s">
        <v>853</v>
      </c>
      <c r="N333">
        <v>98201</v>
      </c>
      <c r="O333" t="s">
        <v>2690</v>
      </c>
      <c r="P333">
        <v>4252592794</v>
      </c>
      <c r="Q333" t="s">
        <v>2691</v>
      </c>
    </row>
    <row r="334" spans="1:17" x14ac:dyDescent="0.25">
      <c r="A334" s="3" t="str">
        <f t="shared" si="6"/>
        <v>513-Sebesta Blomberg &amp; Associates, Inc.</v>
      </c>
      <c r="B334" s="3">
        <v>513</v>
      </c>
      <c r="C334" s="3" t="s">
        <v>2692</v>
      </c>
      <c r="D334" s="3" t="s">
        <v>2693</v>
      </c>
      <c r="E334" s="3"/>
      <c r="F334" s="3"/>
      <c r="G334" s="3" t="s">
        <v>2694</v>
      </c>
      <c r="H334" s="3" t="s">
        <v>2695</v>
      </c>
      <c r="I334" s="3" t="s">
        <v>1336</v>
      </c>
      <c r="J334" s="3" t="s">
        <v>2696</v>
      </c>
      <c r="L334" t="s">
        <v>22</v>
      </c>
      <c r="M334" t="s">
        <v>23</v>
      </c>
      <c r="N334">
        <v>77007</v>
      </c>
      <c r="O334" t="s">
        <v>2697</v>
      </c>
      <c r="Q334" t="s">
        <v>2698</v>
      </c>
    </row>
    <row r="335" spans="1:17" x14ac:dyDescent="0.25">
      <c r="A335" s="3" t="str">
        <f t="shared" si="6"/>
        <v>585-selectransportation resources llc</v>
      </c>
      <c r="B335" s="3">
        <v>585</v>
      </c>
      <c r="C335" s="3" t="s">
        <v>2699</v>
      </c>
      <c r="D335" s="3" t="s">
        <v>2700</v>
      </c>
      <c r="E335" s="3"/>
      <c r="F335" s="3"/>
      <c r="G335" s="3" t="s">
        <v>2701</v>
      </c>
      <c r="H335" s="3" t="s">
        <v>2702</v>
      </c>
      <c r="I335" s="3" t="s">
        <v>2703</v>
      </c>
      <c r="J335" s="3" t="s">
        <v>2704</v>
      </c>
      <c r="L335" t="s">
        <v>1946</v>
      </c>
      <c r="M335" t="s">
        <v>23</v>
      </c>
      <c r="N335">
        <v>77029</v>
      </c>
      <c r="O335" t="s">
        <v>2705</v>
      </c>
      <c r="Q335" t="s">
        <v>2706</v>
      </c>
    </row>
    <row r="336" spans="1:17" x14ac:dyDescent="0.25">
      <c r="A336" s="3" t="str">
        <f t="shared" si="6"/>
        <v>266-Servidyne Systems LLC</v>
      </c>
      <c r="B336" s="3">
        <v>266</v>
      </c>
      <c r="C336" s="3" t="s">
        <v>2707</v>
      </c>
      <c r="D336" s="3" t="s">
        <v>2708</v>
      </c>
      <c r="E336" s="3"/>
      <c r="F336" s="3"/>
      <c r="G336" s="3" t="s">
        <v>1328</v>
      </c>
      <c r="H336" s="3" t="s">
        <v>849</v>
      </c>
      <c r="I336" s="3" t="s">
        <v>2709</v>
      </c>
      <c r="J336" s="3" t="s">
        <v>2710</v>
      </c>
      <c r="K336" t="s">
        <v>2711</v>
      </c>
      <c r="L336" t="s">
        <v>2712</v>
      </c>
      <c r="M336" t="s">
        <v>2260</v>
      </c>
      <c r="N336">
        <v>30339</v>
      </c>
      <c r="O336" t="s">
        <v>2713</v>
      </c>
      <c r="P336" t="s">
        <v>2714</v>
      </c>
      <c r="Q336" t="s">
        <v>2715</v>
      </c>
    </row>
    <row r="337" spans="1:17" x14ac:dyDescent="0.25">
      <c r="A337" s="3" t="str">
        <f t="shared" si="6"/>
        <v>335-Seven Acres Jewish Senior Care Services</v>
      </c>
      <c r="B337" s="3">
        <v>335</v>
      </c>
      <c r="C337" s="3" t="s">
        <v>2716</v>
      </c>
      <c r="D337" s="3" t="s">
        <v>2717</v>
      </c>
      <c r="E337" s="3"/>
      <c r="F337" s="3"/>
      <c r="G337" s="3" t="s">
        <v>2718</v>
      </c>
      <c r="H337" s="3" t="s">
        <v>2719</v>
      </c>
      <c r="I337" s="3" t="s">
        <v>2720</v>
      </c>
      <c r="J337" s="3" t="s">
        <v>2721</v>
      </c>
      <c r="L337" t="s">
        <v>22</v>
      </c>
      <c r="M337" t="s">
        <v>23</v>
      </c>
      <c r="N337">
        <v>77074</v>
      </c>
      <c r="O337" t="s">
        <v>2722</v>
      </c>
      <c r="P337" t="s">
        <v>2723</v>
      </c>
      <c r="Q337" t="s">
        <v>2724</v>
      </c>
    </row>
    <row r="338" spans="1:17" x14ac:dyDescent="0.25">
      <c r="A338" s="3" t="str">
        <f t="shared" si="6"/>
        <v>473-Shah Smith &amp; Associates, Inc.</v>
      </c>
      <c r="B338" s="3">
        <v>473</v>
      </c>
      <c r="C338" s="3" t="s">
        <v>2725</v>
      </c>
      <c r="D338" s="3" t="s">
        <v>2726</v>
      </c>
      <c r="E338" s="3"/>
      <c r="F338" s="3"/>
      <c r="G338" s="3" t="s">
        <v>2727</v>
      </c>
      <c r="H338" s="3" t="s">
        <v>2728</v>
      </c>
      <c r="I338" s="3" t="s">
        <v>2729</v>
      </c>
      <c r="J338" s="3" t="s">
        <v>2730</v>
      </c>
      <c r="L338" t="s">
        <v>22</v>
      </c>
      <c r="M338" t="s">
        <v>23</v>
      </c>
      <c r="N338">
        <v>77042</v>
      </c>
      <c r="O338" t="s">
        <v>2731</v>
      </c>
      <c r="Q338" t="s">
        <v>2732</v>
      </c>
    </row>
    <row r="339" spans="1:17" x14ac:dyDescent="0.25">
      <c r="A339" s="3" t="str">
        <f t="shared" si="6"/>
        <v>346-Siemens Building Technologies, Inc</v>
      </c>
      <c r="B339" s="3">
        <v>346</v>
      </c>
      <c r="C339" s="3" t="s">
        <v>2733</v>
      </c>
      <c r="D339" s="3" t="s">
        <v>2734</v>
      </c>
      <c r="E339" s="3"/>
      <c r="F339" s="3"/>
      <c r="G339" s="3" t="s">
        <v>2735</v>
      </c>
      <c r="H339" s="3" t="s">
        <v>2736</v>
      </c>
      <c r="I339" s="3" t="s">
        <v>612</v>
      </c>
      <c r="J339" s="3" t="s">
        <v>2737</v>
      </c>
      <c r="L339" t="s">
        <v>22</v>
      </c>
      <c r="M339" t="s">
        <v>23</v>
      </c>
      <c r="N339">
        <v>77064</v>
      </c>
      <c r="O339" t="s">
        <v>2738</v>
      </c>
      <c r="Q339" t="s">
        <v>2739</v>
      </c>
    </row>
    <row r="340" spans="1:17" x14ac:dyDescent="0.25">
      <c r="A340" s="3" t="str">
        <f t="shared" si="6"/>
        <v>222-Siemens Industry Inc.</v>
      </c>
      <c r="B340" s="3">
        <v>222</v>
      </c>
      <c r="C340" s="3" t="s">
        <v>2740</v>
      </c>
      <c r="D340" s="3" t="s">
        <v>2741</v>
      </c>
      <c r="E340" s="3"/>
      <c r="F340" s="3"/>
      <c r="G340" s="3" t="s">
        <v>2742</v>
      </c>
      <c r="H340" s="3" t="s">
        <v>2743</v>
      </c>
      <c r="I340" s="3" t="s">
        <v>481</v>
      </c>
      <c r="J340" s="3" t="s">
        <v>2737</v>
      </c>
      <c r="L340" t="s">
        <v>22</v>
      </c>
      <c r="M340" t="s">
        <v>23</v>
      </c>
      <c r="N340">
        <v>77064</v>
      </c>
      <c r="O340" t="s">
        <v>2744</v>
      </c>
      <c r="P340" t="s">
        <v>2745</v>
      </c>
      <c r="Q340" t="s">
        <v>2746</v>
      </c>
    </row>
    <row r="341" spans="1:17" x14ac:dyDescent="0.25">
      <c r="A341" s="3" t="str">
        <f t="shared" si="6"/>
        <v>445-SmartWatt Energy</v>
      </c>
      <c r="B341" s="3">
        <v>445</v>
      </c>
      <c r="C341" s="3" t="s">
        <v>2747</v>
      </c>
      <c r="D341" s="3" t="s">
        <v>2748</v>
      </c>
      <c r="E341" s="3"/>
      <c r="F341" s="3" t="s">
        <v>2749</v>
      </c>
      <c r="G341" s="5" t="s">
        <v>2750</v>
      </c>
      <c r="H341" s="5" t="s">
        <v>2751</v>
      </c>
      <c r="I341" s="5" t="s">
        <v>2752</v>
      </c>
      <c r="J341" s="5" t="s">
        <v>2753</v>
      </c>
      <c r="L341" t="s">
        <v>107</v>
      </c>
      <c r="M341" t="s">
        <v>23</v>
      </c>
      <c r="N341">
        <v>75061</v>
      </c>
      <c r="O341" t="s">
        <v>2754</v>
      </c>
      <c r="P341" t="s">
        <v>2755</v>
      </c>
      <c r="Q341" t="s">
        <v>2756</v>
      </c>
    </row>
    <row r="342" spans="1:17" x14ac:dyDescent="0.25">
      <c r="A342" s="3" t="str">
        <f t="shared" si="6"/>
        <v>391-Sodexo Services of Texas Limited Partnership</v>
      </c>
      <c r="B342" s="3">
        <v>391</v>
      </c>
      <c r="C342" s="3" t="s">
        <v>2757</v>
      </c>
      <c r="D342" s="3" t="s">
        <v>2758</v>
      </c>
      <c r="E342" s="3"/>
      <c r="F342" s="3"/>
      <c r="G342" s="3" t="s">
        <v>1726</v>
      </c>
      <c r="H342" s="3" t="s">
        <v>2759</v>
      </c>
      <c r="I342" s="3" t="s">
        <v>2760</v>
      </c>
      <c r="J342" s="3" t="s">
        <v>2761</v>
      </c>
      <c r="L342" t="s">
        <v>2762</v>
      </c>
      <c r="M342" t="s">
        <v>280</v>
      </c>
      <c r="N342">
        <v>66053</v>
      </c>
      <c r="O342" t="s">
        <v>2763</v>
      </c>
      <c r="Q342" t="s">
        <v>2764</v>
      </c>
    </row>
    <row r="343" spans="1:17" x14ac:dyDescent="0.25">
      <c r="A343" s="3" t="str">
        <f t="shared" si="6"/>
        <v>363-Solar Motels</v>
      </c>
      <c r="B343" s="3">
        <v>363</v>
      </c>
      <c r="C343" s="3" t="s">
        <v>2765</v>
      </c>
      <c r="D343" s="3" t="s">
        <v>2766</v>
      </c>
      <c r="E343" s="3"/>
      <c r="F343" s="3"/>
      <c r="G343" s="3" t="s">
        <v>2767</v>
      </c>
      <c r="H343" s="3" t="s">
        <v>2768</v>
      </c>
      <c r="I343" s="3" t="s">
        <v>552</v>
      </c>
      <c r="J343" s="3" t="s">
        <v>2769</v>
      </c>
      <c r="L343" t="s">
        <v>2770</v>
      </c>
      <c r="M343" t="s">
        <v>23</v>
      </c>
      <c r="N343">
        <v>77478</v>
      </c>
      <c r="O343" t="s">
        <v>2771</v>
      </c>
      <c r="Q343" t="s">
        <v>2772</v>
      </c>
    </row>
    <row r="344" spans="1:17" x14ac:dyDescent="0.25">
      <c r="A344" s="3" t="str">
        <f t="shared" si="6"/>
        <v>452-Solis Lighting and Electrical Services</v>
      </c>
      <c r="B344" s="3">
        <v>452</v>
      </c>
      <c r="C344" s="3" t="s">
        <v>2773</v>
      </c>
      <c r="D344" s="3" t="s">
        <v>2774</v>
      </c>
      <c r="E344" s="3"/>
      <c r="F344" s="3"/>
      <c r="G344" s="3" t="s">
        <v>2775</v>
      </c>
      <c r="H344" s="3" t="s">
        <v>2776</v>
      </c>
      <c r="I344" s="3" t="s">
        <v>436</v>
      </c>
      <c r="J344" s="3" t="s">
        <v>2777</v>
      </c>
      <c r="L344" t="s">
        <v>2778</v>
      </c>
      <c r="M344" t="s">
        <v>155</v>
      </c>
      <c r="N344">
        <v>92673</v>
      </c>
      <c r="O344" t="s">
        <v>2779</v>
      </c>
      <c r="P344" t="s">
        <v>2780</v>
      </c>
      <c r="Q344" t="s">
        <v>2781</v>
      </c>
    </row>
    <row r="345" spans="1:17" x14ac:dyDescent="0.25">
      <c r="A345" s="3" t="str">
        <f t="shared" si="6"/>
        <v>264-Sorel Energy LLC</v>
      </c>
      <c r="B345" s="3">
        <v>264</v>
      </c>
      <c r="C345" s="3" t="s">
        <v>2782</v>
      </c>
      <c r="D345" s="3" t="s">
        <v>2783</v>
      </c>
      <c r="E345" s="3"/>
      <c r="F345" s="3"/>
      <c r="G345" s="3" t="s">
        <v>2784</v>
      </c>
      <c r="H345" s="3" t="s">
        <v>2785</v>
      </c>
      <c r="I345" s="3" t="s">
        <v>2786</v>
      </c>
      <c r="J345" s="3" t="s">
        <v>2787</v>
      </c>
      <c r="K345" t="s">
        <v>2788</v>
      </c>
      <c r="L345" t="s">
        <v>22</v>
      </c>
      <c r="M345" t="s">
        <v>23</v>
      </c>
      <c r="N345">
        <v>77002</v>
      </c>
      <c r="O345" t="s">
        <v>2789</v>
      </c>
      <c r="P345" t="s">
        <v>2790</v>
      </c>
      <c r="Q345" t="s">
        <v>2791</v>
      </c>
    </row>
    <row r="346" spans="1:17" x14ac:dyDescent="0.25">
      <c r="A346" s="3" t="str">
        <f t="shared" si="6"/>
        <v>586-Southpoint Solutions</v>
      </c>
      <c r="B346" s="3">
        <v>586</v>
      </c>
      <c r="C346" s="3" t="s">
        <v>2792</v>
      </c>
      <c r="D346" s="3" t="s">
        <v>2793</v>
      </c>
      <c r="E346" s="3"/>
      <c r="F346" s="3" t="s">
        <v>2794</v>
      </c>
      <c r="G346" s="3" t="s">
        <v>1450</v>
      </c>
      <c r="H346" s="3" t="s">
        <v>2795</v>
      </c>
      <c r="I346" s="3" t="s">
        <v>141</v>
      </c>
      <c r="J346" s="3" t="s">
        <v>2796</v>
      </c>
      <c r="L346" t="s">
        <v>2797</v>
      </c>
      <c r="M346" t="s">
        <v>1375</v>
      </c>
      <c r="N346">
        <v>29707</v>
      </c>
      <c r="O346" t="s">
        <v>2798</v>
      </c>
      <c r="P346" t="s">
        <v>2799</v>
      </c>
      <c r="Q346" t="s">
        <v>2800</v>
      </c>
    </row>
    <row r="347" spans="1:17" x14ac:dyDescent="0.25">
      <c r="A347" s="3" t="str">
        <f t="shared" si="6"/>
        <v>638-Spark Lighting, LLC</v>
      </c>
      <c r="B347">
        <v>638</v>
      </c>
      <c r="D347" t="s">
        <v>2801</v>
      </c>
      <c r="G347" t="s">
        <v>957</v>
      </c>
      <c r="H347" t="s">
        <v>2802</v>
      </c>
      <c r="J347" t="s">
        <v>2803</v>
      </c>
      <c r="L347" t="s">
        <v>22</v>
      </c>
      <c r="M347" t="s">
        <v>23</v>
      </c>
      <c r="N347">
        <v>77081</v>
      </c>
      <c r="O347" t="s">
        <v>2804</v>
      </c>
      <c r="Q347" t="s">
        <v>2805</v>
      </c>
    </row>
    <row r="348" spans="1:17" x14ac:dyDescent="0.25">
      <c r="A348" s="3" t="str">
        <f t="shared" si="6"/>
        <v>573-Sparkman Electric, LLC</v>
      </c>
      <c r="B348" s="3">
        <v>573</v>
      </c>
      <c r="C348" s="3" t="s">
        <v>2806</v>
      </c>
      <c r="D348" s="3" t="s">
        <v>2807</v>
      </c>
      <c r="E348" s="3"/>
      <c r="F348" s="3"/>
      <c r="G348" s="3" t="s">
        <v>2808</v>
      </c>
      <c r="H348" s="3" t="s">
        <v>2809</v>
      </c>
      <c r="I348" s="3" t="s">
        <v>1176</v>
      </c>
      <c r="J348" s="3" t="s">
        <v>2810</v>
      </c>
      <c r="L348" t="s">
        <v>2811</v>
      </c>
      <c r="M348" t="s">
        <v>23</v>
      </c>
      <c r="N348">
        <v>76117</v>
      </c>
      <c r="O348" t="s">
        <v>2812</v>
      </c>
      <c r="P348" t="s">
        <v>2813</v>
      </c>
      <c r="Q348" t="s">
        <v>2814</v>
      </c>
    </row>
    <row r="349" spans="1:17" x14ac:dyDescent="0.25">
      <c r="A349" s="3" t="str">
        <f t="shared" si="6"/>
        <v>632-Specialty Lighting Group</v>
      </c>
      <c r="B349">
        <v>632</v>
      </c>
      <c r="D349" t="s">
        <v>2815</v>
      </c>
      <c r="G349" t="s">
        <v>2816</v>
      </c>
      <c r="H349" t="s">
        <v>2817</v>
      </c>
      <c r="J349" t="s">
        <v>2818</v>
      </c>
      <c r="L349" t="s">
        <v>2819</v>
      </c>
      <c r="M349" t="s">
        <v>828</v>
      </c>
      <c r="N349" s="4" t="s">
        <v>2820</v>
      </c>
      <c r="O349" t="s">
        <v>2821</v>
      </c>
      <c r="Q349" t="s">
        <v>2822</v>
      </c>
    </row>
    <row r="350" spans="1:17" x14ac:dyDescent="0.25">
      <c r="A350" s="3" t="str">
        <f t="shared" si="6"/>
        <v>416-Standard Parking Corporation</v>
      </c>
      <c r="B350" s="3">
        <v>416</v>
      </c>
      <c r="C350" s="3" t="s">
        <v>2823</v>
      </c>
      <c r="D350" s="3" t="s">
        <v>2824</v>
      </c>
      <c r="E350" s="3"/>
      <c r="F350" s="3"/>
      <c r="G350" s="3" t="s">
        <v>2825</v>
      </c>
      <c r="H350" s="3" t="s">
        <v>2826</v>
      </c>
      <c r="I350" s="3" t="s">
        <v>2827</v>
      </c>
      <c r="J350" s="3" t="s">
        <v>2828</v>
      </c>
      <c r="L350" t="s">
        <v>22</v>
      </c>
      <c r="M350" t="s">
        <v>23</v>
      </c>
      <c r="N350">
        <v>77002</v>
      </c>
      <c r="O350" t="s">
        <v>2829</v>
      </c>
      <c r="P350" t="s">
        <v>2830</v>
      </c>
      <c r="Q350" t="s">
        <v>2831</v>
      </c>
    </row>
    <row r="351" spans="1:17" x14ac:dyDescent="0.25">
      <c r="A351" s="3" t="str">
        <f t="shared" si="6"/>
        <v>380-Standard Renewable Energy</v>
      </c>
      <c r="B351" s="3">
        <v>380</v>
      </c>
      <c r="C351" s="3" t="s">
        <v>2832</v>
      </c>
      <c r="D351" s="3" t="s">
        <v>2833</v>
      </c>
      <c r="E351" s="3"/>
      <c r="F351" s="3"/>
      <c r="G351" s="3" t="s">
        <v>2834</v>
      </c>
      <c r="H351" s="3" t="s">
        <v>982</v>
      </c>
      <c r="I351" s="3" t="s">
        <v>370</v>
      </c>
      <c r="J351" s="3" t="s">
        <v>2835</v>
      </c>
      <c r="K351" t="s">
        <v>2836</v>
      </c>
      <c r="L351" t="s">
        <v>22</v>
      </c>
      <c r="M351" t="s">
        <v>23</v>
      </c>
      <c r="N351">
        <v>77007</v>
      </c>
      <c r="O351" t="s">
        <v>2837</v>
      </c>
      <c r="Q351" t="s">
        <v>2838</v>
      </c>
    </row>
    <row r="352" spans="1:17" x14ac:dyDescent="0.25">
      <c r="A352" s="3" t="str">
        <f t="shared" si="6"/>
        <v>351-SteveCo</v>
      </c>
      <c r="B352" s="3">
        <v>351</v>
      </c>
      <c r="C352" s="3" t="s">
        <v>2839</v>
      </c>
      <c r="D352" s="3" t="s">
        <v>2840</v>
      </c>
      <c r="E352" s="3"/>
      <c r="F352" s="3"/>
      <c r="G352" s="3" t="s">
        <v>1967</v>
      </c>
      <c r="H352" s="3" t="s">
        <v>2841</v>
      </c>
      <c r="I352" s="3" t="s">
        <v>2842</v>
      </c>
      <c r="J352" s="3" t="s">
        <v>2843</v>
      </c>
      <c r="L352" t="s">
        <v>22</v>
      </c>
      <c r="M352" t="s">
        <v>23</v>
      </c>
      <c r="N352">
        <v>77010</v>
      </c>
      <c r="O352" t="s">
        <v>2844</v>
      </c>
      <c r="P352" t="s">
        <v>2845</v>
      </c>
      <c r="Q352" t="s">
        <v>2846</v>
      </c>
    </row>
    <row r="353" spans="1:17" x14ac:dyDescent="0.25">
      <c r="A353" s="3" t="str">
        <f t="shared" si="6"/>
        <v>522-Straus Systems, Inc.</v>
      </c>
      <c r="B353" s="3">
        <v>522</v>
      </c>
      <c r="C353" s="3" t="s">
        <v>2847</v>
      </c>
      <c r="D353" s="3" t="s">
        <v>2848</v>
      </c>
      <c r="E353" s="3"/>
      <c r="F353" s="3"/>
      <c r="G353" s="3" t="s">
        <v>1726</v>
      </c>
      <c r="H353" s="3" t="s">
        <v>2849</v>
      </c>
      <c r="I353" s="3" t="s">
        <v>185</v>
      </c>
      <c r="J353" s="3" t="s">
        <v>2850</v>
      </c>
      <c r="K353" t="s">
        <v>2851</v>
      </c>
      <c r="L353" t="s">
        <v>392</v>
      </c>
      <c r="M353" t="s">
        <v>23</v>
      </c>
      <c r="N353">
        <v>77497</v>
      </c>
      <c r="O353" t="s">
        <v>2852</v>
      </c>
      <c r="P353" t="s">
        <v>2853</v>
      </c>
      <c r="Q353" t="s">
        <v>2854</v>
      </c>
    </row>
    <row r="354" spans="1:17" x14ac:dyDescent="0.25">
      <c r="A354" s="3" t="str">
        <f t="shared" si="6"/>
        <v>569-Sun and Sun Industries, Inc.</v>
      </c>
      <c r="B354" s="3">
        <v>569</v>
      </c>
      <c r="C354" s="3" t="s">
        <v>2855</v>
      </c>
      <c r="D354" s="3" t="s">
        <v>2856</v>
      </c>
      <c r="E354" s="3"/>
      <c r="F354" s="3"/>
      <c r="G354" s="3" t="s">
        <v>2857</v>
      </c>
      <c r="H354" s="3" t="s">
        <v>2858</v>
      </c>
      <c r="I354" s="3" t="s">
        <v>2859</v>
      </c>
      <c r="J354" s="3" t="s">
        <v>2340</v>
      </c>
      <c r="L354" t="s">
        <v>2341</v>
      </c>
      <c r="M354" t="s">
        <v>23</v>
      </c>
      <c r="N354">
        <v>76011</v>
      </c>
      <c r="O354" t="s">
        <v>2342</v>
      </c>
      <c r="Q354" t="s">
        <v>2860</v>
      </c>
    </row>
    <row r="355" spans="1:17" x14ac:dyDescent="0.25">
      <c r="A355" s="3" t="str">
        <f t="shared" si="6"/>
        <v>646-Sunset Glass Tinting</v>
      </c>
      <c r="B355">
        <v>646</v>
      </c>
      <c r="D355" t="s">
        <v>2861</v>
      </c>
      <c r="G355" t="s">
        <v>2862</v>
      </c>
      <c r="H355" t="s">
        <v>2863</v>
      </c>
      <c r="J355" t="s">
        <v>2864</v>
      </c>
      <c r="L355" t="s">
        <v>392</v>
      </c>
      <c r="M355" t="s">
        <v>23</v>
      </c>
      <c r="N355" s="4" t="s">
        <v>2865</v>
      </c>
      <c r="O355" t="s">
        <v>2866</v>
      </c>
      <c r="Q355" t="s">
        <v>2867</v>
      </c>
    </row>
    <row r="356" spans="1:17" x14ac:dyDescent="0.25">
      <c r="A356" s="3" t="str">
        <f t="shared" si="6"/>
        <v>625-Sunvestors</v>
      </c>
      <c r="B356" s="3">
        <v>625</v>
      </c>
      <c r="C356" s="3" t="s">
        <v>2868</v>
      </c>
      <c r="D356" s="3" t="s">
        <v>2869</v>
      </c>
      <c r="E356" s="3"/>
      <c r="F356" s="3"/>
      <c r="G356" s="3" t="s">
        <v>295</v>
      </c>
      <c r="H356" s="3" t="s">
        <v>2870</v>
      </c>
      <c r="I356" s="3" t="s">
        <v>436</v>
      </c>
      <c r="J356" s="3" t="s">
        <v>2871</v>
      </c>
      <c r="L356" t="s">
        <v>22</v>
      </c>
      <c r="M356" t="s">
        <v>23</v>
      </c>
      <c r="N356">
        <v>77035</v>
      </c>
      <c r="O356" t="s">
        <v>2872</v>
      </c>
      <c r="Q356" t="s">
        <v>2873</v>
      </c>
    </row>
    <row r="357" spans="1:17" x14ac:dyDescent="0.25">
      <c r="A357" s="3" t="str">
        <f t="shared" si="6"/>
        <v>411-Superior Lighting</v>
      </c>
      <c r="B357" s="3">
        <v>411</v>
      </c>
      <c r="C357" s="3" t="s">
        <v>2874</v>
      </c>
      <c r="D357" s="3" t="s">
        <v>2875</v>
      </c>
      <c r="E357" s="3"/>
      <c r="F357" s="3"/>
      <c r="G357" s="3" t="s">
        <v>2876</v>
      </c>
      <c r="H357" s="3" t="s">
        <v>2877</v>
      </c>
      <c r="I357" s="3" t="s">
        <v>78</v>
      </c>
      <c r="J357" s="3" t="s">
        <v>2878</v>
      </c>
      <c r="L357" t="s">
        <v>2879</v>
      </c>
      <c r="M357" t="s">
        <v>1756</v>
      </c>
      <c r="N357">
        <v>71837</v>
      </c>
      <c r="O357" t="s">
        <v>2880</v>
      </c>
      <c r="P357" t="s">
        <v>2881</v>
      </c>
      <c r="Q357" t="s">
        <v>2882</v>
      </c>
    </row>
    <row r="358" spans="1:17" x14ac:dyDescent="0.25">
      <c r="A358" s="3" t="str">
        <f t="shared" si="6"/>
        <v>592-Sustainable Development Concepts</v>
      </c>
      <c r="B358" s="3">
        <v>592</v>
      </c>
      <c r="C358" s="3" t="s">
        <v>2883</v>
      </c>
      <c r="D358" s="3" t="s">
        <v>2884</v>
      </c>
      <c r="E358" s="3" t="s">
        <v>2885</v>
      </c>
      <c r="F358" s="3" t="s">
        <v>2883</v>
      </c>
      <c r="G358" s="3" t="s">
        <v>2886</v>
      </c>
      <c r="H358" s="3" t="s">
        <v>2887</v>
      </c>
      <c r="I358" s="3" t="s">
        <v>436</v>
      </c>
      <c r="J358" s="3" t="s">
        <v>2888</v>
      </c>
      <c r="K358" t="s">
        <v>2889</v>
      </c>
      <c r="L358" t="s">
        <v>2890</v>
      </c>
      <c r="M358" t="s">
        <v>23</v>
      </c>
      <c r="N358">
        <v>77478</v>
      </c>
      <c r="O358">
        <v>7134899703</v>
      </c>
      <c r="Q358" t="s">
        <v>2891</v>
      </c>
    </row>
    <row r="359" spans="1:17" x14ac:dyDescent="0.25">
      <c r="A359" s="3" t="str">
        <f t="shared" si="6"/>
        <v>251-Sylvania Lighting Services</v>
      </c>
      <c r="B359" s="3">
        <v>251</v>
      </c>
      <c r="C359" s="3" t="s">
        <v>2892</v>
      </c>
      <c r="D359" s="3" t="s">
        <v>2893</v>
      </c>
      <c r="E359" s="3"/>
      <c r="F359" s="3"/>
      <c r="G359" s="3" t="s">
        <v>1668</v>
      </c>
      <c r="H359" s="3" t="s">
        <v>2894</v>
      </c>
      <c r="I359" s="3" t="s">
        <v>2895</v>
      </c>
      <c r="J359" s="3" t="s">
        <v>2896</v>
      </c>
      <c r="L359" t="s">
        <v>2897</v>
      </c>
      <c r="M359" t="s">
        <v>853</v>
      </c>
      <c r="N359">
        <v>98277</v>
      </c>
      <c r="O359" t="s">
        <v>2898</v>
      </c>
      <c r="P359" t="s">
        <v>2899</v>
      </c>
      <c r="Q359" t="s">
        <v>2900</v>
      </c>
    </row>
    <row r="360" spans="1:17" x14ac:dyDescent="0.25">
      <c r="A360" s="3" t="str">
        <f t="shared" si="6"/>
        <v>588-Synergy Investment</v>
      </c>
      <c r="B360" s="3">
        <v>588</v>
      </c>
      <c r="C360" s="3" t="s">
        <v>2901</v>
      </c>
      <c r="D360" s="3" t="s">
        <v>2902</v>
      </c>
      <c r="E360" s="3"/>
      <c r="F360" s="3"/>
      <c r="G360" s="3" t="s">
        <v>349</v>
      </c>
      <c r="H360" s="3" t="s">
        <v>2903</v>
      </c>
      <c r="I360" s="3" t="s">
        <v>2904</v>
      </c>
      <c r="J360" s="3" t="s">
        <v>2905</v>
      </c>
      <c r="K360" t="s">
        <v>2906</v>
      </c>
      <c r="L360" t="s">
        <v>2907</v>
      </c>
      <c r="M360" t="s">
        <v>327</v>
      </c>
      <c r="N360">
        <v>1581</v>
      </c>
      <c r="O360" t="s">
        <v>2908</v>
      </c>
      <c r="P360" t="s">
        <v>2909</v>
      </c>
      <c r="Q360" t="s">
        <v>2910</v>
      </c>
    </row>
    <row r="361" spans="1:17" x14ac:dyDescent="0.25">
      <c r="A361" s="3" t="str">
        <f t="shared" si="6"/>
        <v>620-Tamesi Electrician</v>
      </c>
      <c r="B361" s="3">
        <v>620</v>
      </c>
      <c r="C361" s="3" t="s">
        <v>2911</v>
      </c>
      <c r="D361" s="3" t="s">
        <v>2912</v>
      </c>
      <c r="E361" s="3"/>
      <c r="F361" s="3"/>
      <c r="G361" s="3" t="s">
        <v>2913</v>
      </c>
      <c r="H361" s="3" t="s">
        <v>2914</v>
      </c>
      <c r="I361" s="3" t="s">
        <v>185</v>
      </c>
      <c r="J361" s="3" t="s">
        <v>2915</v>
      </c>
      <c r="L361" t="s">
        <v>2916</v>
      </c>
      <c r="M361" t="s">
        <v>23</v>
      </c>
      <c r="N361">
        <v>77423</v>
      </c>
      <c r="O361" t="s">
        <v>2917</v>
      </c>
      <c r="P361">
        <v>2813752676</v>
      </c>
      <c r="Q361" t="s">
        <v>2918</v>
      </c>
    </row>
    <row r="362" spans="1:17" x14ac:dyDescent="0.25">
      <c r="A362" s="3" t="str">
        <f t="shared" si="6"/>
        <v>422-Tapco Enpro</v>
      </c>
      <c r="B362" s="3">
        <v>422</v>
      </c>
      <c r="C362" s="3" t="s">
        <v>2919</v>
      </c>
      <c r="D362" s="3" t="s">
        <v>2920</v>
      </c>
      <c r="E362" s="3" t="s">
        <v>2921</v>
      </c>
      <c r="F362" s="3" t="s">
        <v>2922</v>
      </c>
      <c r="G362" s="3" t="s">
        <v>349</v>
      </c>
      <c r="H362" s="3" t="s">
        <v>2923</v>
      </c>
      <c r="I362" s="3" t="s">
        <v>1077</v>
      </c>
      <c r="J362" s="3" t="s">
        <v>2924</v>
      </c>
      <c r="K362" t="s">
        <v>2925</v>
      </c>
      <c r="L362" t="s">
        <v>439</v>
      </c>
      <c r="M362" t="s">
        <v>23</v>
      </c>
      <c r="N362">
        <v>75204</v>
      </c>
      <c r="O362" t="s">
        <v>2926</v>
      </c>
      <c r="Q362" t="s">
        <v>2927</v>
      </c>
    </row>
    <row r="363" spans="1:17" x14ac:dyDescent="0.25">
      <c r="A363" s="3" t="str">
        <f t="shared" si="6"/>
        <v>442-Target</v>
      </c>
      <c r="B363" s="3">
        <v>442</v>
      </c>
      <c r="C363" s="3" t="s">
        <v>2928</v>
      </c>
      <c r="D363" s="3" t="s">
        <v>2929</v>
      </c>
      <c r="E363" s="3"/>
      <c r="F363" s="3"/>
      <c r="G363" s="3" t="s">
        <v>2930</v>
      </c>
      <c r="H363" s="3" t="s">
        <v>2931</v>
      </c>
      <c r="I363" s="3" t="s">
        <v>645</v>
      </c>
      <c r="J363" s="3" t="s">
        <v>2932</v>
      </c>
      <c r="K363" t="s">
        <v>2933</v>
      </c>
      <c r="L363" t="s">
        <v>2934</v>
      </c>
      <c r="M363" t="s">
        <v>623</v>
      </c>
      <c r="N363">
        <v>55403</v>
      </c>
      <c r="O363" t="s">
        <v>2935</v>
      </c>
      <c r="P363" t="s">
        <v>2936</v>
      </c>
      <c r="Q363" t="s">
        <v>2937</v>
      </c>
    </row>
    <row r="364" spans="1:17" x14ac:dyDescent="0.25">
      <c r="A364" s="3" t="str">
        <f t="shared" si="6"/>
        <v>274-TDIndustries</v>
      </c>
      <c r="B364" s="3">
        <v>274</v>
      </c>
      <c r="C364" s="3" t="s">
        <v>2938</v>
      </c>
      <c r="D364" s="3" t="s">
        <v>2939</v>
      </c>
      <c r="E364" s="3"/>
      <c r="F364" s="3"/>
      <c r="G364" s="3" t="s">
        <v>2940</v>
      </c>
      <c r="H364" s="3" t="s">
        <v>2941</v>
      </c>
      <c r="I364" s="3" t="s">
        <v>2942</v>
      </c>
      <c r="J364" s="3" t="s">
        <v>2943</v>
      </c>
      <c r="L364" t="s">
        <v>22</v>
      </c>
      <c r="M364" t="s">
        <v>23</v>
      </c>
      <c r="N364">
        <v>77040</v>
      </c>
      <c r="O364" t="s">
        <v>2944</v>
      </c>
      <c r="P364" t="s">
        <v>2945</v>
      </c>
      <c r="Q364" t="s">
        <v>2946</v>
      </c>
    </row>
    <row r="365" spans="1:17" x14ac:dyDescent="0.25">
      <c r="A365" s="3" t="str">
        <f t="shared" si="6"/>
        <v>402-TECO Partners, Inc.</v>
      </c>
      <c r="B365" s="3">
        <v>402</v>
      </c>
      <c r="C365" s="3" t="s">
        <v>2947</v>
      </c>
      <c r="D365" s="3" t="s">
        <v>2948</v>
      </c>
      <c r="E365" s="3"/>
      <c r="F365" s="3"/>
      <c r="G365" s="3" t="s">
        <v>112</v>
      </c>
      <c r="H365" s="3" t="s">
        <v>2949</v>
      </c>
      <c r="I365" s="3" t="s">
        <v>652</v>
      </c>
      <c r="J365" s="3" t="s">
        <v>2950</v>
      </c>
      <c r="L365" t="s">
        <v>2951</v>
      </c>
      <c r="M365" t="s">
        <v>117</v>
      </c>
      <c r="N365">
        <v>33601</v>
      </c>
      <c r="O365" t="s">
        <v>2952</v>
      </c>
      <c r="Q365" t="s">
        <v>2953</v>
      </c>
    </row>
    <row r="366" spans="1:17" x14ac:dyDescent="0.25">
      <c r="A366" s="3" t="str">
        <f t="shared" si="6"/>
        <v>562-TELIOS</v>
      </c>
      <c r="B366" s="3">
        <v>562</v>
      </c>
      <c r="C366" s="3" t="s">
        <v>2954</v>
      </c>
      <c r="D366" s="3" t="s">
        <v>2955</v>
      </c>
      <c r="E366" s="3"/>
      <c r="F366" s="3"/>
      <c r="G366" s="3" t="s">
        <v>892</v>
      </c>
      <c r="H366" s="3" t="s">
        <v>2956</v>
      </c>
      <c r="I366" s="3" t="s">
        <v>68</v>
      </c>
      <c r="J366" s="3" t="s">
        <v>2957</v>
      </c>
      <c r="K366" t="s">
        <v>2788</v>
      </c>
      <c r="L366" t="s">
        <v>1767</v>
      </c>
      <c r="M366" t="s">
        <v>23</v>
      </c>
      <c r="N366">
        <v>77478</v>
      </c>
      <c r="O366" t="s">
        <v>2958</v>
      </c>
      <c r="P366">
        <v>2812651608</v>
      </c>
      <c r="Q366" t="s">
        <v>2959</v>
      </c>
    </row>
    <row r="367" spans="1:17" x14ac:dyDescent="0.25">
      <c r="A367" s="3" t="str">
        <f t="shared" si="6"/>
        <v>486-Texas AirSystems</v>
      </c>
      <c r="B367" s="3">
        <v>486</v>
      </c>
      <c r="C367" s="3" t="s">
        <v>2960</v>
      </c>
      <c r="D367" s="3" t="s">
        <v>2961</v>
      </c>
      <c r="E367" s="3"/>
      <c r="F367" s="3"/>
      <c r="G367" s="3" t="s">
        <v>2481</v>
      </c>
      <c r="H367" s="3" t="s">
        <v>2962</v>
      </c>
      <c r="I367" s="3" t="s">
        <v>2963</v>
      </c>
      <c r="J367" s="3" t="s">
        <v>2964</v>
      </c>
      <c r="K367" t="s">
        <v>2965</v>
      </c>
      <c r="L367" t="s">
        <v>392</v>
      </c>
      <c r="M367" t="s">
        <v>23</v>
      </c>
      <c r="N367">
        <v>77477</v>
      </c>
      <c r="O367" t="s">
        <v>2966</v>
      </c>
      <c r="P367" t="s">
        <v>2967</v>
      </c>
      <c r="Q367" t="s">
        <v>2968</v>
      </c>
    </row>
    <row r="368" spans="1:17" x14ac:dyDescent="0.25">
      <c r="A368" s="3" t="str">
        <f t="shared" si="6"/>
        <v>647-Texal Energy LLC</v>
      </c>
      <c r="B368">
        <v>647</v>
      </c>
      <c r="D368" t="s">
        <v>2969</v>
      </c>
      <c r="G368" t="s">
        <v>2970</v>
      </c>
      <c r="H368" t="s">
        <v>2971</v>
      </c>
      <c r="J368" t="s">
        <v>2972</v>
      </c>
      <c r="L368" t="s">
        <v>439</v>
      </c>
      <c r="M368" t="s">
        <v>23</v>
      </c>
      <c r="N368" s="4" t="s">
        <v>2973</v>
      </c>
      <c r="O368" t="s">
        <v>2974</v>
      </c>
      <c r="Q368" t="s">
        <v>2975</v>
      </c>
    </row>
    <row r="369" spans="1:17" x14ac:dyDescent="0.25">
      <c r="A369" s="3" t="str">
        <f t="shared" si="6"/>
        <v>225-Texas Energy Products</v>
      </c>
      <c r="B369" s="3">
        <v>225</v>
      </c>
      <c r="C369" s="3" t="s">
        <v>2976</v>
      </c>
      <c r="D369" s="3" t="s">
        <v>2977</v>
      </c>
      <c r="E369" s="3"/>
      <c r="F369" s="3"/>
      <c r="G369" s="3" t="s">
        <v>408</v>
      </c>
      <c r="H369" s="3" t="s">
        <v>409</v>
      </c>
      <c r="I369" s="3" t="s">
        <v>2978</v>
      </c>
      <c r="J369" s="3" t="s">
        <v>2979</v>
      </c>
      <c r="K369" t="s">
        <v>2980</v>
      </c>
      <c r="L369" t="s">
        <v>165</v>
      </c>
      <c r="M369" t="s">
        <v>23</v>
      </c>
      <c r="N369">
        <v>78754</v>
      </c>
      <c r="O369" t="s">
        <v>2003</v>
      </c>
      <c r="P369" t="s">
        <v>2981</v>
      </c>
      <c r="Q369" t="s">
        <v>2982</v>
      </c>
    </row>
    <row r="370" spans="1:17" x14ac:dyDescent="0.25">
      <c r="A370" s="3" t="str">
        <f t="shared" si="6"/>
        <v>603-Texas LED</v>
      </c>
      <c r="B370" s="3">
        <v>603</v>
      </c>
      <c r="C370" s="3" t="s">
        <v>2983</v>
      </c>
      <c r="D370" s="3" t="s">
        <v>2984</v>
      </c>
      <c r="E370" s="3"/>
      <c r="F370" s="3"/>
      <c r="G370" s="3" t="s">
        <v>76</v>
      </c>
      <c r="H370" s="3" t="s">
        <v>2985</v>
      </c>
      <c r="I370" s="3" t="s">
        <v>2986</v>
      </c>
      <c r="J370" s="3" t="s">
        <v>2987</v>
      </c>
      <c r="K370" t="s">
        <v>2988</v>
      </c>
      <c r="L370" t="s">
        <v>98</v>
      </c>
      <c r="M370" t="s">
        <v>23</v>
      </c>
      <c r="N370">
        <v>77573</v>
      </c>
      <c r="O370" t="s">
        <v>2989</v>
      </c>
      <c r="Q370" t="s">
        <v>2990</v>
      </c>
    </row>
    <row r="371" spans="1:17" x14ac:dyDescent="0.25">
      <c r="A371" s="3" t="str">
        <f t="shared" si="6"/>
        <v>525-Texas Solar Resources, Inc</v>
      </c>
      <c r="B371" s="3">
        <v>525</v>
      </c>
      <c r="C371" s="3" t="s">
        <v>2991</v>
      </c>
      <c r="D371" s="3" t="s">
        <v>2992</v>
      </c>
      <c r="E371" s="3"/>
      <c r="F371" s="3"/>
      <c r="G371" s="3" t="s">
        <v>2825</v>
      </c>
      <c r="H371" s="3" t="s">
        <v>2993</v>
      </c>
      <c r="I371" s="3" t="s">
        <v>240</v>
      </c>
      <c r="J371" s="3" t="s">
        <v>2994</v>
      </c>
      <c r="L371" t="s">
        <v>1804</v>
      </c>
      <c r="M371" t="s">
        <v>23</v>
      </c>
      <c r="N371">
        <v>77546</v>
      </c>
      <c r="O371" t="s">
        <v>2995</v>
      </c>
      <c r="Q371" t="s">
        <v>2996</v>
      </c>
    </row>
    <row r="372" spans="1:17" x14ac:dyDescent="0.25">
      <c r="A372" s="3" t="str">
        <f t="shared" si="6"/>
        <v>545-The Brandt Companies, LLC</v>
      </c>
      <c r="B372" s="3">
        <v>545</v>
      </c>
      <c r="C372" s="3" t="s">
        <v>2997</v>
      </c>
      <c r="D372" s="3" t="s">
        <v>2998</v>
      </c>
      <c r="E372" s="3"/>
      <c r="F372" s="3" t="s">
        <v>2997</v>
      </c>
      <c r="G372" s="3" t="s">
        <v>312</v>
      </c>
      <c r="H372" s="3" t="s">
        <v>2999</v>
      </c>
      <c r="I372" s="3" t="s">
        <v>1092</v>
      </c>
      <c r="J372" s="3" t="s">
        <v>3000</v>
      </c>
      <c r="L372" t="s">
        <v>134</v>
      </c>
      <c r="M372" t="s">
        <v>23</v>
      </c>
      <c r="N372">
        <v>75006</v>
      </c>
      <c r="O372" t="s">
        <v>3001</v>
      </c>
      <c r="Q372" t="s">
        <v>3002</v>
      </c>
    </row>
    <row r="373" spans="1:17" x14ac:dyDescent="0.25">
      <c r="A373" s="3" t="str">
        <f t="shared" si="6"/>
        <v>546-The Brandt Companies, LLC</v>
      </c>
      <c r="B373" s="3">
        <v>546</v>
      </c>
      <c r="C373" s="3" t="s">
        <v>3003</v>
      </c>
      <c r="D373" s="3" t="s">
        <v>2998</v>
      </c>
      <c r="E373" s="3" t="s">
        <v>3004</v>
      </c>
      <c r="F373" s="3" t="s">
        <v>3003</v>
      </c>
      <c r="G373" s="3" t="s">
        <v>312</v>
      </c>
      <c r="H373" s="3" t="s">
        <v>2999</v>
      </c>
      <c r="I373" s="3" t="s">
        <v>1092</v>
      </c>
      <c r="J373" s="3" t="s">
        <v>3000</v>
      </c>
      <c r="L373" t="s">
        <v>134</v>
      </c>
      <c r="M373" t="s">
        <v>23</v>
      </c>
      <c r="N373">
        <v>75006</v>
      </c>
      <c r="O373" t="s">
        <v>3001</v>
      </c>
      <c r="Q373" t="s">
        <v>3002</v>
      </c>
    </row>
    <row r="374" spans="1:17" x14ac:dyDescent="0.25">
      <c r="A374" s="3" t="str">
        <f t="shared" si="6"/>
        <v>478-The Energy Solution Group Worldwide</v>
      </c>
      <c r="B374" s="3">
        <v>478</v>
      </c>
      <c r="C374" s="3" t="s">
        <v>3005</v>
      </c>
      <c r="D374" s="3" t="s">
        <v>3006</v>
      </c>
      <c r="E374" s="3"/>
      <c r="F374" s="3"/>
      <c r="G374" s="3" t="s">
        <v>3007</v>
      </c>
      <c r="H374" s="3" t="s">
        <v>3008</v>
      </c>
      <c r="I374" s="3" t="s">
        <v>277</v>
      </c>
      <c r="J374" s="3" t="s">
        <v>3009</v>
      </c>
      <c r="L374" t="s">
        <v>3010</v>
      </c>
      <c r="M374" t="s">
        <v>1002</v>
      </c>
      <c r="N374">
        <v>43212</v>
      </c>
      <c r="O374" t="s">
        <v>3011</v>
      </c>
      <c r="Q374" t="s">
        <v>3012</v>
      </c>
    </row>
    <row r="375" spans="1:17" x14ac:dyDescent="0.25">
      <c r="A375" s="3" t="str">
        <f t="shared" si="6"/>
        <v>420-The Gaia Group, Inc</v>
      </c>
      <c r="B375" s="3">
        <v>420</v>
      </c>
      <c r="C375" s="3" t="s">
        <v>3013</v>
      </c>
      <c r="D375" s="3" t="s">
        <v>3014</v>
      </c>
      <c r="E375" s="3"/>
      <c r="F375" s="3"/>
      <c r="G375" s="3" t="s">
        <v>3015</v>
      </c>
      <c r="H375" s="3" t="s">
        <v>1472</v>
      </c>
      <c r="I375" s="3" t="s">
        <v>351</v>
      </c>
      <c r="J375" s="3" t="s">
        <v>3016</v>
      </c>
      <c r="L375" t="s">
        <v>22</v>
      </c>
      <c r="M375" t="s">
        <v>23</v>
      </c>
      <c r="N375">
        <v>77002</v>
      </c>
      <c r="O375" t="s">
        <v>3017</v>
      </c>
      <c r="P375" t="s">
        <v>3018</v>
      </c>
      <c r="Q375" t="s">
        <v>3019</v>
      </c>
    </row>
    <row r="376" spans="1:17" x14ac:dyDescent="0.25">
      <c r="A376" s="3" t="str">
        <f t="shared" si="6"/>
        <v>230-The Great Indoors</v>
      </c>
      <c r="B376" s="3">
        <v>230</v>
      </c>
      <c r="C376" s="3" t="s">
        <v>3020</v>
      </c>
      <c r="D376" s="3" t="s">
        <v>3021</v>
      </c>
      <c r="E376" s="3"/>
      <c r="F376" s="3"/>
      <c r="G376" s="3" t="s">
        <v>3022</v>
      </c>
      <c r="H376" s="3" t="s">
        <v>3023</v>
      </c>
      <c r="I376" s="3" t="s">
        <v>3024</v>
      </c>
      <c r="J376" s="3" t="s">
        <v>3025</v>
      </c>
      <c r="K376" t="s">
        <v>3026</v>
      </c>
      <c r="L376" t="s">
        <v>3027</v>
      </c>
      <c r="M376" t="s">
        <v>354</v>
      </c>
      <c r="N376">
        <v>60179</v>
      </c>
      <c r="O376" t="s">
        <v>3028</v>
      </c>
      <c r="P376" t="s">
        <v>3029</v>
      </c>
      <c r="Q376" t="s">
        <v>3030</v>
      </c>
    </row>
    <row r="377" spans="1:17" x14ac:dyDescent="0.25">
      <c r="A377" s="3" t="str">
        <f t="shared" si="6"/>
        <v>549-The Home Masters</v>
      </c>
      <c r="B377" s="3">
        <v>549</v>
      </c>
      <c r="C377" s="3" t="s">
        <v>3031</v>
      </c>
      <c r="D377" s="3" t="s">
        <v>3032</v>
      </c>
      <c r="E377" s="3"/>
      <c r="F377" s="3"/>
      <c r="G377" s="3" t="s">
        <v>1142</v>
      </c>
      <c r="H377" s="3" t="s">
        <v>276</v>
      </c>
      <c r="I377" s="3" t="s">
        <v>436</v>
      </c>
      <c r="J377" s="3" t="s">
        <v>3033</v>
      </c>
      <c r="L377" t="s">
        <v>605</v>
      </c>
      <c r="M377" t="s">
        <v>23</v>
      </c>
      <c r="N377">
        <v>77389</v>
      </c>
      <c r="O377" t="s">
        <v>3034</v>
      </c>
      <c r="Q377" t="s">
        <v>3035</v>
      </c>
    </row>
    <row r="378" spans="1:17" x14ac:dyDescent="0.25">
      <c r="A378" s="3" t="str">
        <f t="shared" si="6"/>
        <v>285-The Kroger Company</v>
      </c>
      <c r="B378" s="3">
        <v>285</v>
      </c>
      <c r="C378" s="3" t="s">
        <v>3036</v>
      </c>
      <c r="D378" s="3" t="s">
        <v>3037</v>
      </c>
      <c r="E378" s="3"/>
      <c r="F378" s="3"/>
      <c r="G378" s="3" t="s">
        <v>3038</v>
      </c>
      <c r="H378" s="3" t="s">
        <v>3039</v>
      </c>
      <c r="I378" s="3" t="s">
        <v>3040</v>
      </c>
      <c r="J378" s="3" t="s">
        <v>3041</v>
      </c>
      <c r="L378" t="s">
        <v>1001</v>
      </c>
      <c r="M378" t="s">
        <v>1002</v>
      </c>
      <c r="N378">
        <v>45202</v>
      </c>
      <c r="O378" t="s">
        <v>3042</v>
      </c>
      <c r="Q378" t="s">
        <v>3043</v>
      </c>
    </row>
    <row r="379" spans="1:17" x14ac:dyDescent="0.25">
      <c r="A379" s="3" t="str">
        <f t="shared" si="6"/>
        <v>449-The Lee Thompson Co</v>
      </c>
      <c r="B379" s="3">
        <v>449</v>
      </c>
      <c r="C379" s="3" t="s">
        <v>3044</v>
      </c>
      <c r="D379" s="3" t="s">
        <v>3045</v>
      </c>
      <c r="E379" s="3"/>
      <c r="F379" s="3"/>
      <c r="G379" s="3" t="s">
        <v>1271</v>
      </c>
      <c r="H379" s="3" t="s">
        <v>399</v>
      </c>
      <c r="I379" s="3" t="s">
        <v>436</v>
      </c>
      <c r="J379" s="3" t="s">
        <v>3046</v>
      </c>
      <c r="L379" t="s">
        <v>22</v>
      </c>
      <c r="M379" t="s">
        <v>23</v>
      </c>
      <c r="N379">
        <v>77007</v>
      </c>
      <c r="O379" t="s">
        <v>3047</v>
      </c>
      <c r="P379" t="s">
        <v>3048</v>
      </c>
      <c r="Q379" t="s">
        <v>3049</v>
      </c>
    </row>
    <row r="380" spans="1:17" x14ac:dyDescent="0.25">
      <c r="A380" s="3" t="str">
        <f t="shared" si="6"/>
        <v>487-The Orvis Company, Inc.</v>
      </c>
      <c r="B380" s="3">
        <v>487</v>
      </c>
      <c r="C380" s="3" t="s">
        <v>3050</v>
      </c>
      <c r="D380" s="3" t="s">
        <v>3051</v>
      </c>
      <c r="E380" s="3"/>
      <c r="F380" s="3"/>
      <c r="G380" s="3" t="s">
        <v>1497</v>
      </c>
      <c r="H380" s="3" t="s">
        <v>3052</v>
      </c>
      <c r="I380" s="3" t="s">
        <v>3053</v>
      </c>
      <c r="J380" s="3" t="s">
        <v>3054</v>
      </c>
      <c r="L380" t="s">
        <v>3055</v>
      </c>
      <c r="M380" t="s">
        <v>688</v>
      </c>
      <c r="N380">
        <v>24012</v>
      </c>
      <c r="O380" t="s">
        <v>3056</v>
      </c>
      <c r="Q380" t="s">
        <v>3057</v>
      </c>
    </row>
    <row r="381" spans="1:17" x14ac:dyDescent="0.25">
      <c r="A381" s="3" t="str">
        <f t="shared" si="6"/>
        <v>515-The Tagos Group, LLC</v>
      </c>
      <c r="B381" s="3">
        <v>515</v>
      </c>
      <c r="C381" s="3" t="s">
        <v>3058</v>
      </c>
      <c r="D381" s="3" t="s">
        <v>3059</v>
      </c>
      <c r="E381" s="3"/>
      <c r="F381" s="3"/>
      <c r="G381" s="3" t="s">
        <v>3060</v>
      </c>
      <c r="H381" s="3" t="s">
        <v>3061</v>
      </c>
      <c r="I381" s="3" t="s">
        <v>3062</v>
      </c>
      <c r="J381" s="3" t="s">
        <v>3063</v>
      </c>
      <c r="L381" t="s">
        <v>22</v>
      </c>
      <c r="M381" t="s">
        <v>23</v>
      </c>
      <c r="N381">
        <v>77046</v>
      </c>
      <c r="O381" t="s">
        <v>3064</v>
      </c>
      <c r="P381" t="s">
        <v>3065</v>
      </c>
      <c r="Q381" t="s">
        <v>3066</v>
      </c>
    </row>
    <row r="382" spans="1:17" x14ac:dyDescent="0.25">
      <c r="A382" s="3" t="str">
        <f t="shared" si="6"/>
        <v>540-The Zentergy Corporation</v>
      </c>
      <c r="B382" s="3">
        <v>540</v>
      </c>
      <c r="C382" s="3" t="s">
        <v>3067</v>
      </c>
      <c r="D382" s="3" t="s">
        <v>3068</v>
      </c>
      <c r="E382" s="3"/>
      <c r="F382" s="3"/>
      <c r="G382" s="3" t="s">
        <v>3069</v>
      </c>
      <c r="H382" s="3" t="s">
        <v>3070</v>
      </c>
      <c r="I382" s="3" t="s">
        <v>436</v>
      </c>
      <c r="J382" s="3" t="s">
        <v>3071</v>
      </c>
      <c r="L382" t="s">
        <v>3072</v>
      </c>
      <c r="M382" t="s">
        <v>448</v>
      </c>
      <c r="N382">
        <v>11731</v>
      </c>
      <c r="O382" t="s">
        <v>3073</v>
      </c>
      <c r="Q382" t="s">
        <v>3074</v>
      </c>
    </row>
    <row r="383" spans="1:17" x14ac:dyDescent="0.25">
      <c r="A383" s="3" t="str">
        <f t="shared" si="6"/>
        <v>579-The Zentergy Corporation</v>
      </c>
      <c r="B383" s="3">
        <v>579</v>
      </c>
      <c r="C383" s="3" t="s">
        <v>3075</v>
      </c>
      <c r="D383" s="3" t="s">
        <v>3068</v>
      </c>
      <c r="E383" s="3"/>
      <c r="F383" s="3"/>
      <c r="G383" s="3" t="s">
        <v>3069</v>
      </c>
      <c r="H383" s="3" t="s">
        <v>3076</v>
      </c>
      <c r="I383" s="3" t="s">
        <v>436</v>
      </c>
      <c r="J383" s="3" t="s">
        <v>3077</v>
      </c>
      <c r="L383" t="s">
        <v>3072</v>
      </c>
      <c r="M383" t="s">
        <v>448</v>
      </c>
      <c r="N383">
        <v>11731</v>
      </c>
      <c r="O383" t="s">
        <v>3073</v>
      </c>
      <c r="P383" t="s">
        <v>3078</v>
      </c>
      <c r="Q383" t="s">
        <v>3074</v>
      </c>
    </row>
    <row r="384" spans="1:17" x14ac:dyDescent="0.25">
      <c r="A384" s="3" t="str">
        <f t="shared" si="6"/>
        <v>413-Theater District Parking</v>
      </c>
      <c r="B384" s="3">
        <v>413</v>
      </c>
      <c r="C384" s="3" t="s">
        <v>3079</v>
      </c>
      <c r="D384" s="3" t="s">
        <v>3080</v>
      </c>
      <c r="E384" s="3" t="s">
        <v>764</v>
      </c>
      <c r="F384" s="3" t="s">
        <v>3079</v>
      </c>
      <c r="G384" s="3" t="s">
        <v>3081</v>
      </c>
      <c r="H384" s="3" t="s">
        <v>3082</v>
      </c>
      <c r="I384" s="3" t="s">
        <v>3083</v>
      </c>
      <c r="J384" s="3" t="s">
        <v>3084</v>
      </c>
      <c r="L384" t="s">
        <v>22</v>
      </c>
      <c r="M384" t="s">
        <v>23</v>
      </c>
      <c r="N384">
        <v>77002</v>
      </c>
      <c r="O384" t="s">
        <v>3085</v>
      </c>
      <c r="P384" t="s">
        <v>3086</v>
      </c>
      <c r="Q384" t="s">
        <v>3087</v>
      </c>
    </row>
    <row r="385" spans="1:17" x14ac:dyDescent="0.25">
      <c r="A385" s="3" t="str">
        <f t="shared" si="6"/>
        <v>405-Thomas Engineering, Inc.</v>
      </c>
      <c r="B385" s="3">
        <v>405</v>
      </c>
      <c r="C385" s="3" t="s">
        <v>3088</v>
      </c>
      <c r="D385" s="3" t="s">
        <v>3089</v>
      </c>
      <c r="E385" s="3"/>
      <c r="F385" s="3"/>
      <c r="G385" s="3" t="s">
        <v>1785</v>
      </c>
      <c r="H385" s="3" t="s">
        <v>1510</v>
      </c>
      <c r="I385" s="3" t="s">
        <v>436</v>
      </c>
      <c r="J385" s="3" t="s">
        <v>3090</v>
      </c>
      <c r="L385" t="s">
        <v>3091</v>
      </c>
      <c r="M385" t="s">
        <v>23</v>
      </c>
      <c r="N385">
        <v>78412</v>
      </c>
      <c r="O385" t="s">
        <v>3092</v>
      </c>
      <c r="P385" t="s">
        <v>3093</v>
      </c>
      <c r="Q385" t="s">
        <v>3094</v>
      </c>
    </row>
    <row r="386" spans="1:17" x14ac:dyDescent="0.25">
      <c r="A386" s="3" t="str">
        <f t="shared" si="6"/>
        <v>219-Thomas, McDonald &amp; Dunne Engineers, LLC</v>
      </c>
      <c r="B386" s="3">
        <v>219</v>
      </c>
      <c r="C386" s="3" t="s">
        <v>3095</v>
      </c>
      <c r="D386" s="3" t="s">
        <v>3096</v>
      </c>
      <c r="E386" s="3"/>
      <c r="F386" s="3"/>
      <c r="G386" s="3" t="s">
        <v>1227</v>
      </c>
      <c r="H386" s="3" t="s">
        <v>3097</v>
      </c>
      <c r="I386" s="3" t="s">
        <v>1336</v>
      </c>
      <c r="J386" s="3" t="s">
        <v>3098</v>
      </c>
      <c r="L386" t="s">
        <v>22</v>
      </c>
      <c r="M386" t="s">
        <v>23</v>
      </c>
      <c r="N386">
        <v>77079</v>
      </c>
      <c r="O386" t="s">
        <v>3099</v>
      </c>
      <c r="P386" t="s">
        <v>3100</v>
      </c>
      <c r="Q386" t="s">
        <v>3101</v>
      </c>
    </row>
    <row r="387" spans="1:17" x14ac:dyDescent="0.25">
      <c r="A387" s="3" t="str">
        <f t="shared" si="6"/>
        <v>618-Tomball Plaza, LLC.</v>
      </c>
      <c r="B387" s="3">
        <v>618</v>
      </c>
      <c r="C387" s="3" t="s">
        <v>3102</v>
      </c>
      <c r="D387" s="3" t="s">
        <v>3103</v>
      </c>
      <c r="E387" s="3" t="s">
        <v>3104</v>
      </c>
      <c r="F387" s="3" t="s">
        <v>3105</v>
      </c>
      <c r="G387" s="3" t="s">
        <v>3106</v>
      </c>
      <c r="H387" s="3" t="s">
        <v>3107</v>
      </c>
      <c r="I387" s="3" t="s">
        <v>3108</v>
      </c>
      <c r="J387" s="3" t="s">
        <v>3109</v>
      </c>
      <c r="L387" t="s">
        <v>3110</v>
      </c>
      <c r="M387" t="s">
        <v>117</v>
      </c>
      <c r="N387">
        <v>33071</v>
      </c>
      <c r="O387" t="s">
        <v>3111</v>
      </c>
      <c r="P387" t="s">
        <v>3112</v>
      </c>
      <c r="Q387" t="s">
        <v>3113</v>
      </c>
    </row>
    <row r="388" spans="1:17" x14ac:dyDescent="0.25">
      <c r="A388" s="3" t="str">
        <f t="shared" si="6"/>
        <v xml:space="preserve">326-Toys </v>
      </c>
      <c r="B388" s="3">
        <v>326</v>
      </c>
      <c r="C388" s="3" t="s">
        <v>3114</v>
      </c>
      <c r="D388" s="3" t="s">
        <v>3115</v>
      </c>
      <c r="E388" s="3"/>
      <c r="F388" s="3"/>
      <c r="G388" s="3" t="s">
        <v>1199</v>
      </c>
      <c r="H388" s="3" t="s">
        <v>3116</v>
      </c>
      <c r="I388" s="3" t="s">
        <v>3117</v>
      </c>
      <c r="J388" s="3" t="s">
        <v>2650</v>
      </c>
      <c r="L388" t="s">
        <v>1155</v>
      </c>
      <c r="M388" t="s">
        <v>327</v>
      </c>
      <c r="N388">
        <v>2639</v>
      </c>
      <c r="O388" t="s">
        <v>1156</v>
      </c>
      <c r="P388" t="s">
        <v>3118</v>
      </c>
      <c r="Q388" t="s">
        <v>3119</v>
      </c>
    </row>
    <row r="389" spans="1:17" x14ac:dyDescent="0.25">
      <c r="A389" s="3" t="str">
        <f t="shared" si="6"/>
        <v>336-TPG 2500 CityWest, L.P.</v>
      </c>
      <c r="B389" s="3">
        <v>336</v>
      </c>
      <c r="C389" s="3" t="s">
        <v>3120</v>
      </c>
      <c r="D389" s="3" t="s">
        <v>3121</v>
      </c>
      <c r="E389" s="3"/>
      <c r="F389" s="3"/>
      <c r="G389" s="3" t="s">
        <v>3122</v>
      </c>
      <c r="H389" s="3" t="s">
        <v>3123</v>
      </c>
      <c r="I389" s="3" t="s">
        <v>114</v>
      </c>
      <c r="J389" s="3" t="s">
        <v>3124</v>
      </c>
      <c r="L389" t="s">
        <v>22</v>
      </c>
      <c r="M389" t="s">
        <v>23</v>
      </c>
      <c r="N389">
        <v>77057</v>
      </c>
      <c r="O389" t="s">
        <v>3125</v>
      </c>
      <c r="P389" t="s">
        <v>3126</v>
      </c>
      <c r="Q389" t="s">
        <v>3127</v>
      </c>
    </row>
    <row r="390" spans="1:17" x14ac:dyDescent="0.25">
      <c r="A390" s="3" t="str">
        <f t="shared" si="6"/>
        <v>300-TPG San Felipe Plaza, L.P.</v>
      </c>
      <c r="B390" s="3">
        <v>300</v>
      </c>
      <c r="C390" s="3" t="s">
        <v>3128</v>
      </c>
      <c r="D390" s="3" t="s">
        <v>3129</v>
      </c>
      <c r="E390" s="3"/>
      <c r="F390" s="3"/>
      <c r="G390" s="3" t="s">
        <v>39</v>
      </c>
      <c r="H390" s="3" t="s">
        <v>3123</v>
      </c>
      <c r="I390" s="3" t="s">
        <v>114</v>
      </c>
      <c r="J390" s="3" t="s">
        <v>3130</v>
      </c>
      <c r="K390" t="s">
        <v>2965</v>
      </c>
      <c r="L390" t="s">
        <v>22</v>
      </c>
      <c r="M390" t="s">
        <v>23</v>
      </c>
      <c r="N390">
        <v>77057</v>
      </c>
      <c r="O390" t="s">
        <v>3131</v>
      </c>
      <c r="P390" t="s">
        <v>3132</v>
      </c>
      <c r="Q390" t="s">
        <v>3127</v>
      </c>
    </row>
    <row r="391" spans="1:17" x14ac:dyDescent="0.25">
      <c r="A391" s="3" t="str">
        <f t="shared" si="6"/>
        <v>314-Trane</v>
      </c>
      <c r="B391" s="3">
        <v>314</v>
      </c>
      <c r="C391" s="3" t="s">
        <v>3133</v>
      </c>
      <c r="D391" s="3" t="s">
        <v>3134</v>
      </c>
      <c r="E391" s="3"/>
      <c r="F391" s="3"/>
      <c r="G391" s="3" t="s">
        <v>1142</v>
      </c>
      <c r="H391" s="3" t="s">
        <v>3135</v>
      </c>
      <c r="I391" s="3" t="s">
        <v>481</v>
      </c>
      <c r="J391" s="3" t="s">
        <v>3136</v>
      </c>
      <c r="L391" t="s">
        <v>134</v>
      </c>
      <c r="M391" t="s">
        <v>23</v>
      </c>
      <c r="N391">
        <v>75006</v>
      </c>
      <c r="O391" t="s">
        <v>3137</v>
      </c>
      <c r="P391" t="s">
        <v>3138</v>
      </c>
      <c r="Q391" t="s">
        <v>3139</v>
      </c>
    </row>
    <row r="392" spans="1:17" x14ac:dyDescent="0.25">
      <c r="A392" s="3" t="str">
        <f t="shared" si="6"/>
        <v>245-Trio Electric</v>
      </c>
      <c r="B392" s="3">
        <v>245</v>
      </c>
      <c r="C392" s="3" t="s">
        <v>3140</v>
      </c>
      <c r="D392" s="3" t="s">
        <v>3141</v>
      </c>
      <c r="E392" s="3" t="s">
        <v>3141</v>
      </c>
      <c r="F392" s="3"/>
      <c r="G392" s="3" t="s">
        <v>3142</v>
      </c>
      <c r="H392" s="3" t="s">
        <v>3143</v>
      </c>
      <c r="I392" s="3" t="s">
        <v>436</v>
      </c>
      <c r="J392" s="5" t="s">
        <v>3144</v>
      </c>
      <c r="L392" t="s">
        <v>22</v>
      </c>
      <c r="M392" t="s">
        <v>23</v>
      </c>
      <c r="N392">
        <v>77055</v>
      </c>
      <c r="O392" t="s">
        <v>3145</v>
      </c>
      <c r="Q392" t="s">
        <v>3146</v>
      </c>
    </row>
    <row r="393" spans="1:17" x14ac:dyDescent="0.25">
      <c r="A393" s="3" t="str">
        <f t="shared" si="6"/>
        <v>539-Triton Energy Solutions, LLC</v>
      </c>
      <c r="B393" s="3">
        <v>539</v>
      </c>
      <c r="C393" s="3" t="s">
        <v>3147</v>
      </c>
      <c r="D393" s="3" t="s">
        <v>3148</v>
      </c>
      <c r="E393" s="3"/>
      <c r="F393" s="3"/>
      <c r="G393" s="3" t="s">
        <v>3149</v>
      </c>
      <c r="H393" s="3" t="s">
        <v>3150</v>
      </c>
      <c r="I393" s="3" t="s">
        <v>3151</v>
      </c>
      <c r="J393" s="3" t="s">
        <v>3152</v>
      </c>
      <c r="L393" t="s">
        <v>143</v>
      </c>
      <c r="M393" t="s">
        <v>23</v>
      </c>
      <c r="N393">
        <v>78228</v>
      </c>
      <c r="O393" t="s">
        <v>3153</v>
      </c>
      <c r="Q393" t="s">
        <v>3154</v>
      </c>
    </row>
    <row r="394" spans="1:17" x14ac:dyDescent="0.25">
      <c r="A394" s="3" t="str">
        <f t="shared" si="6"/>
        <v>394-TruVoltz, Inc.</v>
      </c>
      <c r="B394" s="3">
        <v>394</v>
      </c>
      <c r="C394" s="3" t="s">
        <v>3155</v>
      </c>
      <c r="D394" s="3" t="s">
        <v>3156</v>
      </c>
      <c r="E394" s="3"/>
      <c r="F394" s="3"/>
      <c r="G394" s="3" t="s">
        <v>2930</v>
      </c>
      <c r="H394" s="3" t="s">
        <v>3157</v>
      </c>
      <c r="I394" s="3" t="s">
        <v>3158</v>
      </c>
      <c r="J394" s="3" t="s">
        <v>3159</v>
      </c>
      <c r="K394" t="s">
        <v>3160</v>
      </c>
      <c r="L394" t="s">
        <v>605</v>
      </c>
      <c r="M394" t="s">
        <v>23</v>
      </c>
      <c r="N394">
        <v>77379</v>
      </c>
      <c r="O394" t="s">
        <v>3161</v>
      </c>
      <c r="P394" t="s">
        <v>3162</v>
      </c>
      <c r="Q394" t="s">
        <v>3163</v>
      </c>
    </row>
    <row r="395" spans="1:17" x14ac:dyDescent="0.25">
      <c r="A395" s="3" t="str">
        <f t="shared" si="6"/>
        <v>273-Turbine Air Systems, Ltd</v>
      </c>
      <c r="B395" s="3">
        <v>273</v>
      </c>
      <c r="C395" s="3" t="s">
        <v>3164</v>
      </c>
      <c r="D395" s="3" t="s">
        <v>3165</v>
      </c>
      <c r="E395" s="3"/>
      <c r="F395" s="3"/>
      <c r="G395" s="3" t="s">
        <v>238</v>
      </c>
      <c r="H395" s="3" t="s">
        <v>3166</v>
      </c>
      <c r="I395" s="3" t="s">
        <v>1352</v>
      </c>
      <c r="J395" s="3" t="s">
        <v>3167</v>
      </c>
      <c r="L395" t="s">
        <v>22</v>
      </c>
      <c r="M395" t="s">
        <v>23</v>
      </c>
      <c r="N395">
        <v>77021</v>
      </c>
      <c r="O395" t="s">
        <v>3168</v>
      </c>
      <c r="Q395" t="s">
        <v>3169</v>
      </c>
    </row>
    <row r="396" spans="1:17" x14ac:dyDescent="0.25">
      <c r="A396" s="3" t="str">
        <f t="shared" si="6"/>
        <v>407-TURTLE &amp; HUGHES, INC</v>
      </c>
      <c r="B396" s="3">
        <v>407</v>
      </c>
      <c r="C396" s="3" t="s">
        <v>3170</v>
      </c>
      <c r="D396" s="3" t="s">
        <v>3171</v>
      </c>
      <c r="E396" s="3"/>
      <c r="F396" s="3" t="s">
        <v>3170</v>
      </c>
      <c r="G396" s="3" t="s">
        <v>3172</v>
      </c>
      <c r="H396" s="3" t="s">
        <v>3173</v>
      </c>
      <c r="I396" s="3" t="s">
        <v>3174</v>
      </c>
      <c r="J396" s="3" t="s">
        <v>3175</v>
      </c>
      <c r="L396" t="s">
        <v>3176</v>
      </c>
      <c r="M396" t="s">
        <v>648</v>
      </c>
      <c r="N396">
        <v>7062</v>
      </c>
      <c r="O396" t="s">
        <v>3177</v>
      </c>
      <c r="P396" t="s">
        <v>3178</v>
      </c>
      <c r="Q396" t="s">
        <v>3179</v>
      </c>
    </row>
    <row r="397" spans="1:17" x14ac:dyDescent="0.25">
      <c r="A397" s="3" t="str">
        <f t="shared" ref="A397:A460" si="7">IF(B397="","",B397&amp;"-"&amp;D397)</f>
        <v>602-TXU Energy Retail Company LLC</v>
      </c>
      <c r="B397" s="3">
        <v>602</v>
      </c>
      <c r="C397" s="3" t="s">
        <v>3180</v>
      </c>
      <c r="D397" s="3" t="s">
        <v>3181</v>
      </c>
      <c r="E397" s="3"/>
      <c r="F397" s="3"/>
      <c r="G397" s="3" t="s">
        <v>1271</v>
      </c>
      <c r="H397" s="3" t="s">
        <v>473</v>
      </c>
      <c r="I397" s="3" t="s">
        <v>1092</v>
      </c>
      <c r="J397" s="3" t="s">
        <v>3182</v>
      </c>
      <c r="L397" t="s">
        <v>107</v>
      </c>
      <c r="M397" t="s">
        <v>23</v>
      </c>
      <c r="N397">
        <v>76033</v>
      </c>
      <c r="O397">
        <v>4692617323</v>
      </c>
      <c r="Q397" t="s">
        <v>3183</v>
      </c>
    </row>
    <row r="398" spans="1:17" x14ac:dyDescent="0.25">
      <c r="A398" s="3" t="str">
        <f t="shared" si="7"/>
        <v>490-U-Haul Co. of Texas, Inc.</v>
      </c>
      <c r="B398" s="3">
        <v>490</v>
      </c>
      <c r="C398" s="3" t="s">
        <v>3184</v>
      </c>
      <c r="D398" s="3" t="s">
        <v>3185</v>
      </c>
      <c r="E398" s="3" t="s">
        <v>3186</v>
      </c>
      <c r="F398" s="3"/>
      <c r="G398" s="3" t="s">
        <v>3187</v>
      </c>
      <c r="H398" s="3" t="s">
        <v>3188</v>
      </c>
      <c r="I398" s="3" t="s">
        <v>3189</v>
      </c>
      <c r="J398" s="3" t="s">
        <v>3190</v>
      </c>
      <c r="L398" t="s">
        <v>22</v>
      </c>
      <c r="M398" t="s">
        <v>23</v>
      </c>
      <c r="N398">
        <v>77077</v>
      </c>
      <c r="O398" t="s">
        <v>3191</v>
      </c>
      <c r="P398" t="s">
        <v>3192</v>
      </c>
      <c r="Q398" t="s">
        <v>3193</v>
      </c>
    </row>
    <row r="399" spans="1:17" x14ac:dyDescent="0.25">
      <c r="A399" s="3" t="str">
        <f t="shared" si="7"/>
        <v>601-Unify Energy Solutions</v>
      </c>
      <c r="B399" s="3">
        <v>601</v>
      </c>
      <c r="C399" s="3" t="s">
        <v>3194</v>
      </c>
      <c r="D399" s="3" t="s">
        <v>3195</v>
      </c>
      <c r="E399" s="3"/>
      <c r="F399" s="3"/>
      <c r="G399" s="3" t="s">
        <v>3196</v>
      </c>
      <c r="H399" s="3" t="s">
        <v>3197</v>
      </c>
      <c r="I399" s="3" t="s">
        <v>3198</v>
      </c>
      <c r="J399" s="3" t="s">
        <v>3199</v>
      </c>
      <c r="L399" t="s">
        <v>22</v>
      </c>
      <c r="M399" t="s">
        <v>23</v>
      </c>
      <c r="N399">
        <v>77060</v>
      </c>
      <c r="O399" t="s">
        <v>3200</v>
      </c>
      <c r="Q399" t="s">
        <v>3201</v>
      </c>
    </row>
    <row r="400" spans="1:17" x14ac:dyDescent="0.25">
      <c r="A400" s="3" t="str">
        <f t="shared" si="7"/>
        <v>471-Univar USA</v>
      </c>
      <c r="B400" s="3">
        <v>471</v>
      </c>
      <c r="C400" s="3" t="s">
        <v>3202</v>
      </c>
      <c r="D400" s="3" t="s">
        <v>3203</v>
      </c>
      <c r="E400" s="3"/>
      <c r="F400" s="3"/>
      <c r="G400" s="3" t="s">
        <v>378</v>
      </c>
      <c r="H400" s="3" t="s">
        <v>3204</v>
      </c>
      <c r="I400" s="3" t="s">
        <v>258</v>
      </c>
      <c r="J400" s="3" t="s">
        <v>3205</v>
      </c>
      <c r="L400" t="s">
        <v>22</v>
      </c>
      <c r="M400" t="s">
        <v>23</v>
      </c>
      <c r="N400">
        <v>77061</v>
      </c>
      <c r="O400" t="s">
        <v>3206</v>
      </c>
      <c r="Q400" t="s">
        <v>3207</v>
      </c>
    </row>
    <row r="401" spans="1:17" x14ac:dyDescent="0.25">
      <c r="A401" s="3" t="str">
        <f t="shared" si="7"/>
        <v>474-Univar USA</v>
      </c>
      <c r="B401" s="3">
        <v>474</v>
      </c>
      <c r="C401" s="3" t="s">
        <v>3208</v>
      </c>
      <c r="D401" s="3" t="s">
        <v>3203</v>
      </c>
      <c r="E401" s="3"/>
      <c r="F401" s="3"/>
      <c r="G401" s="3" t="s">
        <v>378</v>
      </c>
      <c r="H401" s="3" t="s">
        <v>3204</v>
      </c>
      <c r="I401" s="3" t="s">
        <v>258</v>
      </c>
      <c r="J401" s="3" t="s">
        <v>3205</v>
      </c>
      <c r="L401" t="s">
        <v>22</v>
      </c>
      <c r="M401" t="s">
        <v>23</v>
      </c>
      <c r="N401">
        <v>77061</v>
      </c>
      <c r="O401" t="s">
        <v>3206</v>
      </c>
      <c r="Q401" t="s">
        <v>3207</v>
      </c>
    </row>
    <row r="402" spans="1:17" x14ac:dyDescent="0.25">
      <c r="A402" s="3" t="str">
        <f t="shared" si="7"/>
        <v>323-University of Houston System</v>
      </c>
      <c r="B402" s="3">
        <v>323</v>
      </c>
      <c r="C402" s="3" t="s">
        <v>3209</v>
      </c>
      <c r="D402" s="3" t="s">
        <v>3210</v>
      </c>
      <c r="E402" s="3" t="s">
        <v>3210</v>
      </c>
      <c r="F402" s="3" t="s">
        <v>3209</v>
      </c>
      <c r="G402" s="3" t="s">
        <v>3211</v>
      </c>
      <c r="H402" s="3" t="s">
        <v>162</v>
      </c>
      <c r="I402" s="3" t="s">
        <v>3212</v>
      </c>
      <c r="J402" s="3" t="s">
        <v>3213</v>
      </c>
      <c r="L402" t="s">
        <v>22</v>
      </c>
      <c r="M402" t="s">
        <v>23</v>
      </c>
      <c r="N402">
        <v>77204</v>
      </c>
      <c r="O402" t="s">
        <v>3214</v>
      </c>
      <c r="Q402" t="s">
        <v>3215</v>
      </c>
    </row>
    <row r="403" spans="1:17" x14ac:dyDescent="0.25">
      <c r="A403" s="3" t="str">
        <f t="shared" si="7"/>
        <v>260-Unlimited Energy Solutions</v>
      </c>
      <c r="B403" s="3">
        <v>260</v>
      </c>
      <c r="C403" s="3" t="s">
        <v>3216</v>
      </c>
      <c r="D403" s="3" t="s">
        <v>3217</v>
      </c>
      <c r="E403" s="3"/>
      <c r="F403" s="3"/>
      <c r="G403" s="3" t="s">
        <v>359</v>
      </c>
      <c r="H403" s="3" t="s">
        <v>497</v>
      </c>
      <c r="I403" s="3" t="s">
        <v>78</v>
      </c>
      <c r="J403" s="3" t="s">
        <v>3218</v>
      </c>
      <c r="L403" t="s">
        <v>22</v>
      </c>
      <c r="M403" t="s">
        <v>23</v>
      </c>
      <c r="N403">
        <v>77063</v>
      </c>
      <c r="O403" t="s">
        <v>363</v>
      </c>
      <c r="P403" t="s">
        <v>3219</v>
      </c>
      <c r="Q403" t="s">
        <v>365</v>
      </c>
    </row>
    <row r="404" spans="1:17" x14ac:dyDescent="0.25">
      <c r="A404" s="3" t="str">
        <f t="shared" si="7"/>
        <v>344-UPS</v>
      </c>
      <c r="B404" s="3">
        <v>344</v>
      </c>
      <c r="C404" s="3" t="s">
        <v>3220</v>
      </c>
      <c r="D404" s="3" t="s">
        <v>3221</v>
      </c>
      <c r="E404" s="3"/>
      <c r="F404" s="3"/>
      <c r="G404" s="3" t="s">
        <v>3222</v>
      </c>
      <c r="H404" s="3" t="s">
        <v>2629</v>
      </c>
      <c r="I404" s="3" t="s">
        <v>1618</v>
      </c>
      <c r="J404" s="3" t="s">
        <v>2630</v>
      </c>
      <c r="L404" t="s">
        <v>1736</v>
      </c>
      <c r="M404" t="s">
        <v>198</v>
      </c>
      <c r="N404">
        <v>19103</v>
      </c>
      <c r="O404" t="s">
        <v>1737</v>
      </c>
      <c r="P404" t="s">
        <v>1738</v>
      </c>
      <c r="Q404" t="s">
        <v>2631</v>
      </c>
    </row>
    <row r="405" spans="1:17" x14ac:dyDescent="0.25">
      <c r="A405" s="3" t="str">
        <f t="shared" si="7"/>
        <v>242-UR Energy Inc</v>
      </c>
      <c r="B405" s="3">
        <v>242</v>
      </c>
      <c r="C405" s="3" t="s">
        <v>3223</v>
      </c>
      <c r="D405" s="3" t="s">
        <v>3224</v>
      </c>
      <c r="E405" s="3"/>
      <c r="F405" s="3"/>
      <c r="G405" s="3" t="s">
        <v>3225</v>
      </c>
      <c r="H405" s="3" t="s">
        <v>3226</v>
      </c>
      <c r="I405" s="3" t="s">
        <v>2585</v>
      </c>
      <c r="J405" s="3" t="s">
        <v>3227</v>
      </c>
      <c r="K405" t="s">
        <v>3228</v>
      </c>
      <c r="L405" t="s">
        <v>3229</v>
      </c>
      <c r="M405" t="s">
        <v>648</v>
      </c>
      <c r="N405">
        <v>7004</v>
      </c>
      <c r="O405" t="s">
        <v>3230</v>
      </c>
      <c r="Q405" t="s">
        <v>3231</v>
      </c>
    </row>
    <row r="406" spans="1:17" x14ac:dyDescent="0.25">
      <c r="A406" s="3" t="str">
        <f t="shared" si="7"/>
        <v>370-US ENERGY MANAGEMENT, INC.</v>
      </c>
      <c r="B406" s="3">
        <v>370</v>
      </c>
      <c r="C406" s="3" t="s">
        <v>3232</v>
      </c>
      <c r="D406" s="3" t="s">
        <v>3233</v>
      </c>
      <c r="E406" s="3"/>
      <c r="F406" s="3"/>
      <c r="G406" s="3" t="s">
        <v>3234</v>
      </c>
      <c r="H406" s="3" t="s">
        <v>3235</v>
      </c>
      <c r="I406" s="3" t="s">
        <v>3236</v>
      </c>
      <c r="J406" s="3" t="s">
        <v>3237</v>
      </c>
      <c r="L406" t="s">
        <v>3238</v>
      </c>
      <c r="M406" t="s">
        <v>23</v>
      </c>
      <c r="N406">
        <v>75074</v>
      </c>
      <c r="O406" t="s">
        <v>3239</v>
      </c>
      <c r="P406">
        <v>8888414809</v>
      </c>
      <c r="Q406" t="s">
        <v>3240</v>
      </c>
    </row>
    <row r="407" spans="1:17" x14ac:dyDescent="0.25">
      <c r="A407" s="3" t="str">
        <f t="shared" si="7"/>
        <v>567-US Energy Services Inc.</v>
      </c>
      <c r="B407" s="3">
        <v>567</v>
      </c>
      <c r="C407" s="3" t="s">
        <v>3241</v>
      </c>
      <c r="D407" s="3" t="s">
        <v>3242</v>
      </c>
      <c r="E407" s="3"/>
      <c r="F407" s="3"/>
      <c r="G407" s="3" t="s">
        <v>3243</v>
      </c>
      <c r="H407" s="3" t="s">
        <v>3244</v>
      </c>
      <c r="I407" s="3" t="s">
        <v>185</v>
      </c>
      <c r="J407" s="3" t="s">
        <v>3245</v>
      </c>
      <c r="L407" t="s">
        <v>165</v>
      </c>
      <c r="M407" t="s">
        <v>23</v>
      </c>
      <c r="N407">
        <v>78757</v>
      </c>
      <c r="O407" t="s">
        <v>3246</v>
      </c>
      <c r="P407" t="s">
        <v>3247</v>
      </c>
      <c r="Q407" t="s">
        <v>3248</v>
      </c>
    </row>
    <row r="408" spans="1:17" x14ac:dyDescent="0.25">
      <c r="A408" s="3" t="str">
        <f t="shared" si="7"/>
        <v>349-Utilities Dynamics, Inc.</v>
      </c>
      <c r="B408" s="3">
        <v>349</v>
      </c>
      <c r="C408" s="3" t="s">
        <v>3249</v>
      </c>
      <c r="D408" s="3" t="s">
        <v>3250</v>
      </c>
      <c r="E408" s="3"/>
      <c r="F408" s="3"/>
      <c r="G408" s="3" t="s">
        <v>3251</v>
      </c>
      <c r="H408" s="3" t="s">
        <v>3252</v>
      </c>
      <c r="I408" s="3" t="s">
        <v>68</v>
      </c>
      <c r="J408" s="3" t="s">
        <v>3253</v>
      </c>
      <c r="L408" t="s">
        <v>3254</v>
      </c>
      <c r="M408" t="s">
        <v>536</v>
      </c>
      <c r="N408">
        <v>42001</v>
      </c>
      <c r="O408" t="s">
        <v>3255</v>
      </c>
      <c r="P408" t="s">
        <v>3256</v>
      </c>
      <c r="Q408" t="s">
        <v>3257</v>
      </c>
    </row>
    <row r="409" spans="1:17" x14ac:dyDescent="0.25">
      <c r="A409" s="3" t="str">
        <f t="shared" si="7"/>
        <v>571-Valderrama Energy Services</v>
      </c>
      <c r="B409" s="3">
        <v>571</v>
      </c>
      <c r="C409" s="3" t="s">
        <v>3258</v>
      </c>
      <c r="D409" s="3" t="s">
        <v>3259</v>
      </c>
      <c r="E409" s="3"/>
      <c r="F409" s="3"/>
      <c r="G409" s="3" t="s">
        <v>3260</v>
      </c>
      <c r="H409" s="3" t="s">
        <v>2009</v>
      </c>
      <c r="I409" s="3" t="s">
        <v>436</v>
      </c>
      <c r="J409" s="3" t="s">
        <v>3261</v>
      </c>
      <c r="L409" t="s">
        <v>22</v>
      </c>
      <c r="M409" t="s">
        <v>23</v>
      </c>
      <c r="N409">
        <v>77062</v>
      </c>
      <c r="O409" t="s">
        <v>3262</v>
      </c>
      <c r="P409" t="s">
        <v>3263</v>
      </c>
      <c r="Q409" t="s">
        <v>3264</v>
      </c>
    </row>
    <row r="410" spans="1:17" x14ac:dyDescent="0.25">
      <c r="A410" s="3" t="str">
        <f t="shared" si="7"/>
        <v>489-Value Lighting Energy Solutions, LLC</v>
      </c>
      <c r="B410" s="3">
        <v>489</v>
      </c>
      <c r="C410" s="3" t="s">
        <v>3265</v>
      </c>
      <c r="D410" s="3" t="s">
        <v>3266</v>
      </c>
      <c r="E410" s="3"/>
      <c r="F410" s="3"/>
      <c r="G410" s="3" t="s">
        <v>3267</v>
      </c>
      <c r="H410" s="3" t="s">
        <v>3268</v>
      </c>
      <c r="I410" s="3" t="s">
        <v>3269</v>
      </c>
      <c r="J410" s="3" t="s">
        <v>3270</v>
      </c>
      <c r="L410" t="s">
        <v>3271</v>
      </c>
      <c r="M410" t="s">
        <v>23</v>
      </c>
      <c r="N410">
        <v>77551</v>
      </c>
      <c r="O410" t="s">
        <v>3272</v>
      </c>
      <c r="Q410" t="s">
        <v>3273</v>
      </c>
    </row>
    <row r="411" spans="1:17" x14ac:dyDescent="0.25">
      <c r="A411" s="3" t="str">
        <f t="shared" si="7"/>
        <v>352-Van Orden Engineering</v>
      </c>
      <c r="B411" s="3">
        <v>352</v>
      </c>
      <c r="C411" s="3" t="s">
        <v>3274</v>
      </c>
      <c r="D411" s="3" t="s">
        <v>3275</v>
      </c>
      <c r="E411" s="3"/>
      <c r="F411" s="3"/>
      <c r="G411" s="3" t="s">
        <v>30</v>
      </c>
      <c r="H411" s="3" t="s">
        <v>267</v>
      </c>
      <c r="I411" s="3" t="s">
        <v>3276</v>
      </c>
      <c r="J411" s="3" t="s">
        <v>3277</v>
      </c>
      <c r="K411" t="s">
        <v>3278</v>
      </c>
      <c r="L411" t="s">
        <v>22</v>
      </c>
      <c r="M411" t="s">
        <v>23</v>
      </c>
      <c r="N411">
        <v>77057</v>
      </c>
      <c r="O411" t="s">
        <v>3279</v>
      </c>
      <c r="P411" t="s">
        <v>3280</v>
      </c>
    </row>
    <row r="412" spans="1:17" x14ac:dyDescent="0.25">
      <c r="A412" s="3" t="str">
        <f t="shared" si="7"/>
        <v>556-Verde Lighting Systems, Inc</v>
      </c>
      <c r="B412" s="3">
        <v>556</v>
      </c>
      <c r="C412" s="3" t="s">
        <v>3281</v>
      </c>
      <c r="D412" s="3" t="s">
        <v>3282</v>
      </c>
      <c r="E412" s="3"/>
      <c r="F412" s="3"/>
      <c r="G412" s="3" t="s">
        <v>3283</v>
      </c>
      <c r="H412" s="3" t="s">
        <v>3284</v>
      </c>
      <c r="I412" s="3" t="s">
        <v>3285</v>
      </c>
      <c r="J412" s="3" t="s">
        <v>3286</v>
      </c>
      <c r="L412" t="s">
        <v>22</v>
      </c>
      <c r="M412" t="s">
        <v>23</v>
      </c>
      <c r="N412">
        <v>77040</v>
      </c>
      <c r="O412" t="s">
        <v>3287</v>
      </c>
      <c r="Q412" t="s">
        <v>3288</v>
      </c>
    </row>
    <row r="413" spans="1:17" x14ac:dyDescent="0.25">
      <c r="A413" s="3" t="str">
        <f t="shared" si="7"/>
        <v>475-Villa Lighting Supply</v>
      </c>
      <c r="B413" s="3">
        <v>475</v>
      </c>
      <c r="C413" s="3" t="s">
        <v>3289</v>
      </c>
      <c r="D413" s="3" t="s">
        <v>3290</v>
      </c>
      <c r="E413" s="3"/>
      <c r="F413" s="3"/>
      <c r="G413" s="3" t="s">
        <v>3291</v>
      </c>
      <c r="H413" s="3" t="s">
        <v>3292</v>
      </c>
      <c r="I413" s="3" t="s">
        <v>3293</v>
      </c>
      <c r="J413" s="3" t="s">
        <v>3294</v>
      </c>
      <c r="L413" t="s">
        <v>3295</v>
      </c>
      <c r="M413" t="s">
        <v>921</v>
      </c>
      <c r="N413">
        <v>63103</v>
      </c>
      <c r="O413" t="s">
        <v>3296</v>
      </c>
      <c r="P413" t="s">
        <v>3297</v>
      </c>
      <c r="Q413" t="s">
        <v>3298</v>
      </c>
    </row>
    <row r="414" spans="1:17" x14ac:dyDescent="0.25">
      <c r="A414" s="3" t="str">
        <f t="shared" si="7"/>
        <v>481-Walgreen Co.</v>
      </c>
      <c r="B414" s="3">
        <v>481</v>
      </c>
      <c r="C414" s="3" t="s">
        <v>3299</v>
      </c>
      <c r="D414" s="3" t="s">
        <v>3300</v>
      </c>
      <c r="E414" s="3"/>
      <c r="F414" s="3"/>
      <c r="G414" s="3" t="s">
        <v>3301</v>
      </c>
      <c r="H414" s="3" t="s">
        <v>3302</v>
      </c>
      <c r="I414" s="3" t="s">
        <v>141</v>
      </c>
      <c r="J414" s="3" t="s">
        <v>3303</v>
      </c>
      <c r="K414" t="s">
        <v>3304</v>
      </c>
      <c r="L414" t="s">
        <v>3305</v>
      </c>
      <c r="M414" t="s">
        <v>354</v>
      </c>
      <c r="N414">
        <v>60015</v>
      </c>
      <c r="O414" t="s">
        <v>3306</v>
      </c>
      <c r="Q414" t="s">
        <v>3307</v>
      </c>
    </row>
    <row r="415" spans="1:17" x14ac:dyDescent="0.25">
      <c r="A415" s="3" t="str">
        <f t="shared" si="7"/>
        <v>439-Walker Energy Solution</v>
      </c>
      <c r="B415" s="3">
        <v>439</v>
      </c>
      <c r="C415" s="3" t="s">
        <v>3308</v>
      </c>
      <c r="D415" s="3" t="s">
        <v>3309</v>
      </c>
      <c r="E415" s="3" t="s">
        <v>3310</v>
      </c>
      <c r="F415" s="3" t="s">
        <v>3308</v>
      </c>
      <c r="G415" s="3" t="s">
        <v>3311</v>
      </c>
      <c r="H415" s="3" t="s">
        <v>1563</v>
      </c>
      <c r="I415" s="3" t="s">
        <v>436</v>
      </c>
      <c r="J415" s="3" t="s">
        <v>3312</v>
      </c>
      <c r="L415" t="s">
        <v>22</v>
      </c>
      <c r="M415" t="s">
        <v>23</v>
      </c>
      <c r="N415">
        <v>77060</v>
      </c>
      <c r="O415" t="s">
        <v>3313</v>
      </c>
      <c r="P415">
        <v>2814367313</v>
      </c>
      <c r="Q415" t="s">
        <v>3314</v>
      </c>
    </row>
    <row r="416" spans="1:17" x14ac:dyDescent="0.25">
      <c r="A416" s="3" t="str">
        <f t="shared" si="7"/>
        <v>265-Walmart Stores Texas, LLC</v>
      </c>
      <c r="B416" s="3">
        <v>265</v>
      </c>
      <c r="C416" s="3" t="s">
        <v>3315</v>
      </c>
      <c r="D416" s="3" t="s">
        <v>3316</v>
      </c>
      <c r="E416" s="3" t="s">
        <v>3317</v>
      </c>
      <c r="F416" s="3"/>
      <c r="G416" s="3" t="s">
        <v>3318</v>
      </c>
      <c r="H416" s="3" t="s">
        <v>3319</v>
      </c>
      <c r="I416" s="3" t="s">
        <v>3320</v>
      </c>
      <c r="J416" s="3" t="s">
        <v>3321</v>
      </c>
      <c r="L416" t="s">
        <v>3322</v>
      </c>
      <c r="M416" t="s">
        <v>1756</v>
      </c>
      <c r="N416" t="s">
        <v>3323</v>
      </c>
      <c r="O416" t="s">
        <v>3324</v>
      </c>
      <c r="P416" t="s">
        <v>3325</v>
      </c>
      <c r="Q416" t="s">
        <v>3326</v>
      </c>
    </row>
    <row r="417" spans="1:17" x14ac:dyDescent="0.25">
      <c r="A417" s="3" t="str">
        <f t="shared" si="7"/>
        <v>286-Walmart Stores Texas, LLC</v>
      </c>
      <c r="B417" s="3">
        <v>286</v>
      </c>
      <c r="C417" s="3" t="s">
        <v>3327</v>
      </c>
      <c r="D417" s="3" t="s">
        <v>3316</v>
      </c>
      <c r="E417" s="3" t="s">
        <v>3317</v>
      </c>
      <c r="F417" s="3"/>
      <c r="G417" s="3" t="s">
        <v>3318</v>
      </c>
      <c r="H417" s="3" t="s">
        <v>3319</v>
      </c>
      <c r="I417" s="3" t="s">
        <v>3320</v>
      </c>
      <c r="J417" s="3" t="s">
        <v>3321</v>
      </c>
      <c r="L417" t="s">
        <v>3322</v>
      </c>
      <c r="M417" t="s">
        <v>1756</v>
      </c>
      <c r="N417" t="s">
        <v>3323</v>
      </c>
      <c r="O417" t="s">
        <v>3324</v>
      </c>
      <c r="P417" t="s">
        <v>3325</v>
      </c>
      <c r="Q417" t="s">
        <v>3326</v>
      </c>
    </row>
    <row r="418" spans="1:17" x14ac:dyDescent="0.25">
      <c r="A418" s="3" t="str">
        <f t="shared" si="7"/>
        <v>378-Way Engineering Service, Ltd.</v>
      </c>
      <c r="B418" s="3">
        <v>378</v>
      </c>
      <c r="C418" s="3" t="s">
        <v>3328</v>
      </c>
      <c r="D418" s="3" t="s">
        <v>3329</v>
      </c>
      <c r="E418" s="3" t="s">
        <v>3330</v>
      </c>
      <c r="F418" s="3"/>
      <c r="G418" s="3" t="s">
        <v>3331</v>
      </c>
      <c r="H418" s="3" t="s">
        <v>3332</v>
      </c>
      <c r="I418" s="3" t="s">
        <v>3198</v>
      </c>
      <c r="J418" s="3" t="s">
        <v>3333</v>
      </c>
      <c r="L418" t="s">
        <v>22</v>
      </c>
      <c r="M418" t="s">
        <v>23</v>
      </c>
      <c r="N418">
        <v>77081</v>
      </c>
      <c r="O418" t="s">
        <v>3334</v>
      </c>
      <c r="P418" t="s">
        <v>3335</v>
      </c>
      <c r="Q418" t="s">
        <v>3336</v>
      </c>
    </row>
    <row r="419" spans="1:17" x14ac:dyDescent="0.25">
      <c r="A419" s="3" t="str">
        <f t="shared" si="7"/>
        <v>443-Way Service Ltd.</v>
      </c>
      <c r="B419" s="3">
        <v>443</v>
      </c>
      <c r="C419" s="3" t="s">
        <v>3337</v>
      </c>
      <c r="D419" s="3" t="s">
        <v>3338</v>
      </c>
      <c r="E419" s="3" t="s">
        <v>3338</v>
      </c>
      <c r="F419" s="3" t="s">
        <v>3337</v>
      </c>
      <c r="G419" s="3" t="s">
        <v>3339</v>
      </c>
      <c r="H419" s="3" t="s">
        <v>3340</v>
      </c>
      <c r="I419" s="3" t="s">
        <v>3341</v>
      </c>
      <c r="J419" s="3" t="s">
        <v>3342</v>
      </c>
      <c r="L419" t="s">
        <v>22</v>
      </c>
      <c r="M419" t="s">
        <v>23</v>
      </c>
      <c r="N419">
        <v>77081</v>
      </c>
      <c r="O419" t="s">
        <v>3343</v>
      </c>
      <c r="P419" t="s">
        <v>3344</v>
      </c>
      <c r="Q419" t="s">
        <v>3345</v>
      </c>
    </row>
    <row r="420" spans="1:17" x14ac:dyDescent="0.25">
      <c r="A420" s="3" t="str">
        <f t="shared" si="7"/>
        <v>531-Wells Real Estate</v>
      </c>
      <c r="B420" s="3">
        <v>531</v>
      </c>
      <c r="C420" s="3" t="s">
        <v>3346</v>
      </c>
      <c r="D420" s="3" t="s">
        <v>3347</v>
      </c>
      <c r="E420" s="3"/>
      <c r="F420" s="3"/>
      <c r="G420" s="3" t="s">
        <v>3348</v>
      </c>
      <c r="H420" s="3" t="s">
        <v>3349</v>
      </c>
      <c r="I420" s="3" t="s">
        <v>58</v>
      </c>
      <c r="J420" s="3" t="s">
        <v>3350</v>
      </c>
      <c r="L420" t="s">
        <v>22</v>
      </c>
      <c r="M420" t="s">
        <v>23</v>
      </c>
      <c r="N420">
        <v>77010</v>
      </c>
      <c r="O420" t="s">
        <v>3351</v>
      </c>
      <c r="Q420" t="s">
        <v>3352</v>
      </c>
    </row>
    <row r="421" spans="1:17" x14ac:dyDescent="0.25">
      <c r="A421" s="3" t="str">
        <f t="shared" si="7"/>
        <v>269-Wells Real Estate Services LLP</v>
      </c>
      <c r="B421" s="3">
        <v>269</v>
      </c>
      <c r="C421" s="3" t="s">
        <v>3353</v>
      </c>
      <c r="D421" s="3" t="s">
        <v>3354</v>
      </c>
      <c r="E421" s="3"/>
      <c r="F421" s="3"/>
      <c r="G421" s="3" t="s">
        <v>3355</v>
      </c>
      <c r="H421" s="3" t="s">
        <v>276</v>
      </c>
      <c r="I421" s="3" t="s">
        <v>114</v>
      </c>
      <c r="J421" s="3" t="s">
        <v>3356</v>
      </c>
      <c r="L421" t="s">
        <v>22</v>
      </c>
      <c r="M421" t="s">
        <v>23</v>
      </c>
      <c r="N421">
        <v>77010</v>
      </c>
      <c r="O421" t="s">
        <v>3357</v>
      </c>
      <c r="Q421" t="s">
        <v>3358</v>
      </c>
    </row>
    <row r="422" spans="1:17" x14ac:dyDescent="0.25">
      <c r="A422" s="3" t="str">
        <f t="shared" si="7"/>
        <v>436-West Houston Indoor Soccer, Inc</v>
      </c>
      <c r="B422" s="3">
        <v>436</v>
      </c>
      <c r="C422" s="3" t="s">
        <v>3359</v>
      </c>
      <c r="D422" s="3" t="s">
        <v>3360</v>
      </c>
      <c r="E422" s="3"/>
      <c r="F422" s="3"/>
      <c r="G422" s="3" t="s">
        <v>295</v>
      </c>
      <c r="H422" s="3" t="s">
        <v>3361</v>
      </c>
      <c r="I422" s="3" t="s">
        <v>436</v>
      </c>
      <c r="J422" s="3" t="s">
        <v>3362</v>
      </c>
      <c r="L422" t="s">
        <v>22</v>
      </c>
      <c r="M422" t="s">
        <v>23</v>
      </c>
      <c r="N422">
        <v>77084</v>
      </c>
      <c r="O422" t="s">
        <v>3363</v>
      </c>
      <c r="P422" t="s">
        <v>3364</v>
      </c>
      <c r="Q422" t="s">
        <v>3365</v>
      </c>
    </row>
    <row r="423" spans="1:17" x14ac:dyDescent="0.25">
      <c r="A423" s="3" t="str">
        <f t="shared" si="7"/>
        <v>617-White Lodging Services</v>
      </c>
      <c r="B423" s="3">
        <v>617</v>
      </c>
      <c r="C423" s="3" t="s">
        <v>3366</v>
      </c>
      <c r="D423" s="3" t="s">
        <v>3367</v>
      </c>
      <c r="E423" s="3"/>
      <c r="F423" s="3"/>
      <c r="G423" s="3" t="s">
        <v>1497</v>
      </c>
      <c r="H423" s="3" t="s">
        <v>3368</v>
      </c>
      <c r="I423" s="3" t="s">
        <v>3369</v>
      </c>
      <c r="J423" s="3" t="s">
        <v>3370</v>
      </c>
      <c r="L423" t="s">
        <v>22</v>
      </c>
      <c r="M423" t="s">
        <v>23</v>
      </c>
      <c r="N423">
        <v>77002</v>
      </c>
      <c r="O423" t="s">
        <v>3371</v>
      </c>
      <c r="Q423" t="s">
        <v>3372</v>
      </c>
    </row>
    <row r="424" spans="1:17" x14ac:dyDescent="0.25">
      <c r="A424" s="3" t="str">
        <f t="shared" si="7"/>
        <v>441-Whole Foods Market</v>
      </c>
      <c r="B424" s="3">
        <v>441</v>
      </c>
      <c r="C424" s="3" t="s">
        <v>3373</v>
      </c>
      <c r="D424" s="3" t="s">
        <v>3374</v>
      </c>
      <c r="E424" s="3"/>
      <c r="F424" s="3"/>
      <c r="G424" s="3" t="s">
        <v>3375</v>
      </c>
      <c r="H424" s="3" t="s">
        <v>3376</v>
      </c>
      <c r="I424" s="3" t="s">
        <v>3377</v>
      </c>
      <c r="J424" s="3" t="s">
        <v>3378</v>
      </c>
      <c r="K424" t="s">
        <v>3379</v>
      </c>
      <c r="L424" t="s">
        <v>165</v>
      </c>
      <c r="M424" t="s">
        <v>23</v>
      </c>
      <c r="N424">
        <v>78703</v>
      </c>
      <c r="O424" t="s">
        <v>3380</v>
      </c>
      <c r="Q424" t="s">
        <v>3381</v>
      </c>
    </row>
    <row r="425" spans="1:17" x14ac:dyDescent="0.25">
      <c r="A425" s="3" t="str">
        <f t="shared" si="7"/>
        <v>268-Willdan Energy Solutions</v>
      </c>
      <c r="B425" s="3">
        <v>268</v>
      </c>
      <c r="C425" s="3" t="s">
        <v>3382</v>
      </c>
      <c r="D425" s="3" t="s">
        <v>3383</v>
      </c>
      <c r="E425" s="3"/>
      <c r="F425" s="3"/>
      <c r="G425" s="3" t="s">
        <v>256</v>
      </c>
      <c r="H425" s="3" t="s">
        <v>3384</v>
      </c>
      <c r="I425" s="3" t="s">
        <v>3385</v>
      </c>
      <c r="J425" s="3" t="s">
        <v>3386</v>
      </c>
      <c r="L425" t="s">
        <v>3387</v>
      </c>
      <c r="M425" t="s">
        <v>23</v>
      </c>
      <c r="N425">
        <v>76227</v>
      </c>
      <c r="O425" t="s">
        <v>3388</v>
      </c>
      <c r="Q425" t="s">
        <v>3389</v>
      </c>
    </row>
    <row r="426" spans="1:17" x14ac:dyDescent="0.25">
      <c r="A426" s="3" t="str">
        <f t="shared" si="7"/>
        <v>517-Williams-Sonoma</v>
      </c>
      <c r="B426" s="3">
        <v>517</v>
      </c>
      <c r="C426" s="3" t="s">
        <v>3390</v>
      </c>
      <c r="D426" s="3" t="s">
        <v>3391</v>
      </c>
      <c r="E426" s="3" t="s">
        <v>3392</v>
      </c>
      <c r="F426" s="3" t="s">
        <v>3393</v>
      </c>
      <c r="G426" s="3" t="s">
        <v>3394</v>
      </c>
      <c r="H426" s="3" t="s">
        <v>3395</v>
      </c>
      <c r="I426" s="3" t="s">
        <v>3396</v>
      </c>
      <c r="J426" s="3" t="s">
        <v>3397</v>
      </c>
      <c r="L426" t="s">
        <v>3398</v>
      </c>
      <c r="M426" t="s">
        <v>155</v>
      </c>
      <c r="N426">
        <v>94109</v>
      </c>
      <c r="O426" t="s">
        <v>3399</v>
      </c>
      <c r="P426" t="s">
        <v>3400</v>
      </c>
      <c r="Q426" t="s">
        <v>3401</v>
      </c>
    </row>
    <row r="427" spans="1:17" x14ac:dyDescent="0.25">
      <c r="A427" s="3" t="str">
        <f t="shared" si="7"/>
        <v>610-Windcrest Pcf, Ltd</v>
      </c>
      <c r="B427" s="3">
        <v>610</v>
      </c>
      <c r="C427" s="3" t="s">
        <v>3402</v>
      </c>
      <c r="D427" s="3" t="s">
        <v>3403</v>
      </c>
      <c r="E427" s="3"/>
      <c r="F427" s="3"/>
      <c r="G427" s="3" t="s">
        <v>948</v>
      </c>
      <c r="H427" s="3" t="s">
        <v>3404</v>
      </c>
      <c r="I427" s="3" t="s">
        <v>390</v>
      </c>
      <c r="J427" s="3" t="s">
        <v>3405</v>
      </c>
      <c r="L427" t="s">
        <v>22</v>
      </c>
      <c r="M427" t="s">
        <v>23</v>
      </c>
      <c r="N427">
        <v>77043</v>
      </c>
      <c r="O427" t="s">
        <v>3406</v>
      </c>
      <c r="Q427" t="s">
        <v>3407</v>
      </c>
    </row>
    <row r="428" spans="1:17" x14ac:dyDescent="0.25">
      <c r="A428" s="3" t="str">
        <f t="shared" si="7"/>
        <v>255-World Energy Resources Corp.</v>
      </c>
      <c r="B428" s="3">
        <v>255</v>
      </c>
      <c r="C428" s="3" t="s">
        <v>3408</v>
      </c>
      <c r="D428" s="3" t="s">
        <v>3409</v>
      </c>
      <c r="E428" s="3"/>
      <c r="F428" s="3"/>
      <c r="G428" s="3" t="s">
        <v>3410</v>
      </c>
      <c r="H428" s="3" t="s">
        <v>3411</v>
      </c>
      <c r="I428" s="3" t="s">
        <v>436</v>
      </c>
      <c r="J428" s="3" t="s">
        <v>3412</v>
      </c>
      <c r="L428" t="s">
        <v>3413</v>
      </c>
      <c r="M428" t="s">
        <v>3414</v>
      </c>
      <c r="N428">
        <v>89704</v>
      </c>
      <c r="O428" t="s">
        <v>3415</v>
      </c>
      <c r="Q428" t="s">
        <v>3416</v>
      </c>
    </row>
    <row r="429" spans="1:17" x14ac:dyDescent="0.25">
      <c r="A429" s="3" t="str">
        <f t="shared" si="7"/>
        <v>383-Wylie Consulting Engineers</v>
      </c>
      <c r="B429" s="3">
        <v>383</v>
      </c>
      <c r="C429" s="3" t="s">
        <v>3417</v>
      </c>
      <c r="D429" s="3" t="s">
        <v>3418</v>
      </c>
      <c r="E429" s="3"/>
      <c r="F429" s="3"/>
      <c r="G429" s="3" t="s">
        <v>3419</v>
      </c>
      <c r="H429" s="3" t="s">
        <v>3420</v>
      </c>
      <c r="I429" s="3" t="s">
        <v>714</v>
      </c>
      <c r="J429" s="3" t="s">
        <v>3421</v>
      </c>
      <c r="L429" t="s">
        <v>22</v>
      </c>
      <c r="M429" t="s">
        <v>23</v>
      </c>
      <c r="N429">
        <v>77036</v>
      </c>
      <c r="O429" t="s">
        <v>3422</v>
      </c>
      <c r="P429" t="s">
        <v>3423</v>
      </c>
      <c r="Q429" t="s">
        <v>3424</v>
      </c>
    </row>
    <row r="430" spans="1:17" x14ac:dyDescent="0.25">
      <c r="A430" s="3" t="str">
        <f t="shared" si="7"/>
        <v>226-X-TRA Light</v>
      </c>
      <c r="B430" s="3">
        <v>226</v>
      </c>
      <c r="C430" s="3" t="s">
        <v>3425</v>
      </c>
      <c r="D430" s="3" t="s">
        <v>3426</v>
      </c>
      <c r="E430" s="3"/>
      <c r="F430" s="3"/>
      <c r="G430" s="3" t="s">
        <v>588</v>
      </c>
      <c r="H430" s="3" t="s">
        <v>2009</v>
      </c>
      <c r="I430" s="3" t="s">
        <v>3427</v>
      </c>
      <c r="J430" s="3" t="s">
        <v>3428</v>
      </c>
      <c r="L430" t="s">
        <v>22</v>
      </c>
      <c r="M430" t="s">
        <v>23</v>
      </c>
      <c r="N430">
        <v>77034</v>
      </c>
      <c r="O430" t="s">
        <v>3429</v>
      </c>
      <c r="Q430" t="s">
        <v>3430</v>
      </c>
    </row>
    <row r="431" spans="1:17" x14ac:dyDescent="0.25">
      <c r="A431" s="3" t="str">
        <f t="shared" si="7"/>
        <v>554-XYZ</v>
      </c>
      <c r="B431" s="3">
        <v>554</v>
      </c>
      <c r="C431" s="3" t="s">
        <v>3431</v>
      </c>
      <c r="D431" s="3" t="s">
        <v>3432</v>
      </c>
      <c r="E431" s="3"/>
      <c r="F431" s="3"/>
      <c r="G431" s="3" t="s">
        <v>3433</v>
      </c>
      <c r="H431" s="3" t="s">
        <v>3434</v>
      </c>
      <c r="I431" s="3" t="s">
        <v>3435</v>
      </c>
      <c r="J431" s="3" t="s">
        <v>3436</v>
      </c>
      <c r="L431" t="s">
        <v>1946</v>
      </c>
      <c r="M431" t="s">
        <v>23</v>
      </c>
      <c r="N431">
        <v>77010</v>
      </c>
      <c r="O431" t="s">
        <v>3437</v>
      </c>
      <c r="Q431" t="s">
        <v>3438</v>
      </c>
    </row>
    <row r="432" spans="1:17" x14ac:dyDescent="0.25">
      <c r="A432" s="3" t="str">
        <f t="shared" si="7"/>
        <v>555-xyz</v>
      </c>
      <c r="B432" s="3">
        <v>555</v>
      </c>
      <c r="C432" s="3" t="s">
        <v>3439</v>
      </c>
      <c r="D432" s="3" t="s">
        <v>3440</v>
      </c>
      <c r="E432" s="3"/>
      <c r="F432" s="3"/>
      <c r="G432" s="3" t="s">
        <v>3433</v>
      </c>
      <c r="H432" s="3" t="s">
        <v>3434</v>
      </c>
      <c r="I432" s="3" t="s">
        <v>3435</v>
      </c>
      <c r="J432" s="3" t="s">
        <v>3436</v>
      </c>
      <c r="L432" t="s">
        <v>1946</v>
      </c>
      <c r="M432" t="s">
        <v>23</v>
      </c>
      <c r="N432">
        <v>77010</v>
      </c>
      <c r="O432" t="s">
        <v>3437</v>
      </c>
      <c r="Q432" t="s">
        <v>3438</v>
      </c>
    </row>
    <row r="433" spans="1:17" x14ac:dyDescent="0.25">
      <c r="A433" s="3" t="str">
        <f t="shared" si="7"/>
        <v>648-TRITON SUPPLY INC</v>
      </c>
      <c r="B433">
        <v>648</v>
      </c>
      <c r="D433" t="s">
        <v>3441</v>
      </c>
      <c r="G433" t="s">
        <v>3442</v>
      </c>
      <c r="H433" t="s">
        <v>1390</v>
      </c>
      <c r="J433" t="s">
        <v>3443</v>
      </c>
      <c r="L433" t="s">
        <v>107</v>
      </c>
      <c r="M433" t="s">
        <v>23</v>
      </c>
      <c r="N433" s="4" t="s">
        <v>3444</v>
      </c>
      <c r="O433" t="s">
        <v>3445</v>
      </c>
      <c r="Q433" t="s">
        <v>3446</v>
      </c>
    </row>
    <row r="434" spans="1:17" x14ac:dyDescent="0.25">
      <c r="A434" s="3" t="str">
        <f t="shared" si="7"/>
        <v>648-Global Atlas Inc</v>
      </c>
      <c r="B434">
        <v>648</v>
      </c>
      <c r="D434" t="s">
        <v>3447</v>
      </c>
      <c r="G434" t="s">
        <v>266</v>
      </c>
      <c r="H434" t="s">
        <v>3448</v>
      </c>
      <c r="J434" t="s">
        <v>3449</v>
      </c>
      <c r="L434" t="s">
        <v>22</v>
      </c>
      <c r="M434" t="s">
        <v>23</v>
      </c>
      <c r="N434" s="4" t="s">
        <v>3450</v>
      </c>
      <c r="O434" t="s">
        <v>3451</v>
      </c>
      <c r="Q434" t="s">
        <v>3452</v>
      </c>
    </row>
    <row r="435" spans="1:17" x14ac:dyDescent="0.25">
      <c r="A435" s="3" t="str">
        <f t="shared" si="7"/>
        <v>649-shan Smith &amp; Associates, Inc.</v>
      </c>
      <c r="B435">
        <v>649</v>
      </c>
      <c r="D435" t="s">
        <v>3453</v>
      </c>
      <c r="G435" t="s">
        <v>2727</v>
      </c>
      <c r="H435" t="s">
        <v>2728</v>
      </c>
      <c r="J435" t="s">
        <v>3454</v>
      </c>
      <c r="L435" t="s">
        <v>22</v>
      </c>
      <c r="M435" t="s">
        <v>23</v>
      </c>
      <c r="N435" s="4" t="s">
        <v>1670</v>
      </c>
      <c r="O435" t="s">
        <v>2731</v>
      </c>
      <c r="Q435" t="s">
        <v>2732</v>
      </c>
    </row>
    <row r="436" spans="1:17" x14ac:dyDescent="0.25">
      <c r="A436" s="3" t="str">
        <f t="shared" si="7"/>
        <v>650-Archway Logistics Corp.</v>
      </c>
      <c r="B436">
        <v>650</v>
      </c>
      <c r="D436" t="s">
        <v>3455</v>
      </c>
      <c r="G436" t="s">
        <v>193</v>
      </c>
      <c r="H436" t="s">
        <v>3456</v>
      </c>
      <c r="J436" t="s">
        <v>3457</v>
      </c>
      <c r="L436" t="s">
        <v>22</v>
      </c>
      <c r="M436" t="s">
        <v>23</v>
      </c>
      <c r="N436" s="4" t="s">
        <v>3458</v>
      </c>
      <c r="O436" t="s">
        <v>3459</v>
      </c>
      <c r="Q436" t="s">
        <v>3460</v>
      </c>
    </row>
    <row r="437" spans="1:17" x14ac:dyDescent="0.25">
      <c r="A437" s="3" t="str">
        <f t="shared" si="7"/>
        <v>651-MHSC Energy Management LLC</v>
      </c>
      <c r="B437">
        <v>651</v>
      </c>
      <c r="D437" t="s">
        <v>3461</v>
      </c>
      <c r="G437" t="s">
        <v>339</v>
      </c>
      <c r="H437" t="s">
        <v>3462</v>
      </c>
      <c r="J437" t="s">
        <v>3463</v>
      </c>
      <c r="L437" t="s">
        <v>3464</v>
      </c>
      <c r="M437" t="s">
        <v>23</v>
      </c>
      <c r="N437" s="4" t="s">
        <v>3465</v>
      </c>
      <c r="O437" t="s">
        <v>3466</v>
      </c>
      <c r="Q437" t="s">
        <v>3467</v>
      </c>
    </row>
    <row r="438" spans="1:17" x14ac:dyDescent="0.25">
      <c r="A438" s="3" t="str">
        <f t="shared" si="7"/>
        <v>652-LED Cents</v>
      </c>
      <c r="B438">
        <v>652</v>
      </c>
      <c r="D438" t="s">
        <v>3468</v>
      </c>
      <c r="G438" t="s">
        <v>3469</v>
      </c>
      <c r="H438" t="s">
        <v>3470</v>
      </c>
      <c r="J438" t="s">
        <v>3471</v>
      </c>
      <c r="L438" t="s">
        <v>3472</v>
      </c>
      <c r="M438" t="s">
        <v>2260</v>
      </c>
      <c r="N438" s="4" t="s">
        <v>3473</v>
      </c>
      <c r="O438" t="s">
        <v>3474</v>
      </c>
      <c r="Q438" t="s">
        <v>3475</v>
      </c>
    </row>
    <row r="439" spans="1:17" x14ac:dyDescent="0.25">
      <c r="A439" s="3" t="str">
        <f t="shared" si="7"/>
        <v>653-USAmerican Electric</v>
      </c>
      <c r="B439">
        <v>653</v>
      </c>
      <c r="D439" t="s">
        <v>3476</v>
      </c>
      <c r="G439" t="s">
        <v>738</v>
      </c>
      <c r="H439" t="s">
        <v>3477</v>
      </c>
      <c r="J439" t="s">
        <v>3478</v>
      </c>
      <c r="L439" t="s">
        <v>372</v>
      </c>
      <c r="M439" t="s">
        <v>23</v>
      </c>
      <c r="N439" s="4" t="s">
        <v>3479</v>
      </c>
      <c r="O439" t="s">
        <v>3480</v>
      </c>
      <c r="Q439" t="s">
        <v>3481</v>
      </c>
    </row>
    <row r="440" spans="1:17" x14ac:dyDescent="0.25">
      <c r="A440" s="3" t="str">
        <f t="shared" si="7"/>
        <v>654-American Wholesale Lighting</v>
      </c>
      <c r="B440">
        <v>654</v>
      </c>
      <c r="D440" t="s">
        <v>3482</v>
      </c>
      <c r="G440" t="s">
        <v>730</v>
      </c>
      <c r="H440" t="s">
        <v>3483</v>
      </c>
      <c r="J440" t="s">
        <v>3484</v>
      </c>
      <c r="L440" t="s">
        <v>3485</v>
      </c>
      <c r="M440" t="s">
        <v>155</v>
      </c>
      <c r="N440" s="4" t="s">
        <v>3486</v>
      </c>
      <c r="O440" t="s">
        <v>3487</v>
      </c>
      <c r="Q440" t="s">
        <v>3488</v>
      </c>
    </row>
    <row r="441" spans="1:17" x14ac:dyDescent="0.25">
      <c r="A441" s="3" t="str">
        <f t="shared" si="7"/>
        <v/>
      </c>
    </row>
    <row r="442" spans="1:17" x14ac:dyDescent="0.25">
      <c r="A442" s="3" t="str">
        <f t="shared" si="7"/>
        <v/>
      </c>
    </row>
    <row r="443" spans="1:17" x14ac:dyDescent="0.25">
      <c r="A443" s="3" t="str">
        <f t="shared" si="7"/>
        <v/>
      </c>
    </row>
    <row r="444" spans="1:17" x14ac:dyDescent="0.25">
      <c r="A444" s="3" t="str">
        <f t="shared" si="7"/>
        <v/>
      </c>
    </row>
    <row r="445" spans="1:17" x14ac:dyDescent="0.25">
      <c r="A445" s="3" t="str">
        <f t="shared" si="7"/>
        <v/>
      </c>
    </row>
    <row r="446" spans="1:17" x14ac:dyDescent="0.25">
      <c r="A446" s="3" t="str">
        <f t="shared" si="7"/>
        <v/>
      </c>
    </row>
    <row r="447" spans="1:17" x14ac:dyDescent="0.25">
      <c r="A447" s="3" t="str">
        <f t="shared" si="7"/>
        <v/>
      </c>
    </row>
    <row r="448" spans="1:17" x14ac:dyDescent="0.25">
      <c r="A448" s="3" t="str">
        <f t="shared" si="7"/>
        <v/>
      </c>
    </row>
    <row r="449" spans="1:1" x14ac:dyDescent="0.25">
      <c r="A449" s="3" t="str">
        <f t="shared" si="7"/>
        <v/>
      </c>
    </row>
    <row r="450" spans="1:1" x14ac:dyDescent="0.25">
      <c r="A450" s="3" t="str">
        <f t="shared" si="7"/>
        <v/>
      </c>
    </row>
    <row r="451" spans="1:1" x14ac:dyDescent="0.25">
      <c r="A451" s="3" t="str">
        <f t="shared" si="7"/>
        <v/>
      </c>
    </row>
    <row r="452" spans="1:1" x14ac:dyDescent="0.25">
      <c r="A452" s="3" t="str">
        <f t="shared" si="7"/>
        <v/>
      </c>
    </row>
    <row r="453" spans="1:1" x14ac:dyDescent="0.25">
      <c r="A453" s="3" t="str">
        <f t="shared" si="7"/>
        <v/>
      </c>
    </row>
    <row r="454" spans="1:1" x14ac:dyDescent="0.25">
      <c r="A454" s="3" t="str">
        <f t="shared" si="7"/>
        <v/>
      </c>
    </row>
    <row r="455" spans="1:1" x14ac:dyDescent="0.25">
      <c r="A455" s="3" t="str">
        <f t="shared" si="7"/>
        <v/>
      </c>
    </row>
    <row r="456" spans="1:1" x14ac:dyDescent="0.25">
      <c r="A456" s="3" t="str">
        <f t="shared" si="7"/>
        <v/>
      </c>
    </row>
    <row r="457" spans="1:1" x14ac:dyDescent="0.25">
      <c r="A457" s="3" t="str">
        <f t="shared" si="7"/>
        <v/>
      </c>
    </row>
    <row r="458" spans="1:1" x14ac:dyDescent="0.25">
      <c r="A458" s="3" t="str">
        <f t="shared" si="7"/>
        <v/>
      </c>
    </row>
    <row r="459" spans="1:1" x14ac:dyDescent="0.25">
      <c r="A459" s="3" t="str">
        <f t="shared" si="7"/>
        <v/>
      </c>
    </row>
    <row r="460" spans="1:1" x14ac:dyDescent="0.25">
      <c r="A460" s="3" t="str">
        <f t="shared" si="7"/>
        <v/>
      </c>
    </row>
    <row r="461" spans="1:1" x14ac:dyDescent="0.25">
      <c r="A461" s="3" t="str">
        <f t="shared" ref="A461:A500" si="8">IF(B461="","",B461&amp;"-"&amp;D461)</f>
        <v/>
      </c>
    </row>
    <row r="462" spans="1:1" x14ac:dyDescent="0.25">
      <c r="A462" s="3" t="str">
        <f t="shared" si="8"/>
        <v/>
      </c>
    </row>
    <row r="463" spans="1:1" x14ac:dyDescent="0.25">
      <c r="A463" s="3" t="str">
        <f t="shared" si="8"/>
        <v/>
      </c>
    </row>
    <row r="464" spans="1:1" x14ac:dyDescent="0.25">
      <c r="A464" s="3" t="str">
        <f t="shared" si="8"/>
        <v/>
      </c>
    </row>
    <row r="465" spans="1:1" x14ac:dyDescent="0.25">
      <c r="A465" s="3" t="str">
        <f t="shared" si="8"/>
        <v/>
      </c>
    </row>
    <row r="466" spans="1:1" x14ac:dyDescent="0.25">
      <c r="A466" s="3" t="str">
        <f t="shared" si="8"/>
        <v/>
      </c>
    </row>
    <row r="467" spans="1:1" x14ac:dyDescent="0.25">
      <c r="A467" s="3" t="str">
        <f t="shared" si="8"/>
        <v/>
      </c>
    </row>
    <row r="468" spans="1:1" x14ac:dyDescent="0.25">
      <c r="A468" s="3" t="str">
        <f t="shared" si="8"/>
        <v/>
      </c>
    </row>
    <row r="469" spans="1:1" x14ac:dyDescent="0.25">
      <c r="A469" s="3" t="str">
        <f t="shared" si="8"/>
        <v/>
      </c>
    </row>
    <row r="470" spans="1:1" x14ac:dyDescent="0.25">
      <c r="A470" s="3" t="str">
        <f t="shared" si="8"/>
        <v/>
      </c>
    </row>
    <row r="471" spans="1:1" x14ac:dyDescent="0.25">
      <c r="A471" s="3" t="str">
        <f t="shared" si="8"/>
        <v/>
      </c>
    </row>
    <row r="472" spans="1:1" x14ac:dyDescent="0.25">
      <c r="A472" s="3" t="str">
        <f t="shared" si="8"/>
        <v/>
      </c>
    </row>
    <row r="473" spans="1:1" x14ac:dyDescent="0.25">
      <c r="A473" s="3" t="str">
        <f t="shared" si="8"/>
        <v/>
      </c>
    </row>
    <row r="474" spans="1:1" x14ac:dyDescent="0.25">
      <c r="A474" s="3" t="str">
        <f t="shared" si="8"/>
        <v/>
      </c>
    </row>
    <row r="475" spans="1:1" x14ac:dyDescent="0.25">
      <c r="A475" s="3" t="str">
        <f t="shared" si="8"/>
        <v/>
      </c>
    </row>
    <row r="476" spans="1:1" x14ac:dyDescent="0.25">
      <c r="A476" s="3" t="str">
        <f t="shared" si="8"/>
        <v/>
      </c>
    </row>
    <row r="477" spans="1:1" x14ac:dyDescent="0.25">
      <c r="A477" s="3" t="str">
        <f t="shared" si="8"/>
        <v/>
      </c>
    </row>
    <row r="478" spans="1:1" x14ac:dyDescent="0.25">
      <c r="A478" s="3" t="str">
        <f t="shared" si="8"/>
        <v/>
      </c>
    </row>
    <row r="479" spans="1:1" x14ac:dyDescent="0.25">
      <c r="A479" s="3" t="str">
        <f t="shared" si="8"/>
        <v/>
      </c>
    </row>
    <row r="480" spans="1:1" x14ac:dyDescent="0.25">
      <c r="A480" s="3" t="str">
        <f t="shared" si="8"/>
        <v/>
      </c>
    </row>
    <row r="481" spans="1:1" x14ac:dyDescent="0.25">
      <c r="A481" s="3" t="str">
        <f t="shared" si="8"/>
        <v/>
      </c>
    </row>
    <row r="482" spans="1:1" x14ac:dyDescent="0.25">
      <c r="A482" s="3" t="str">
        <f t="shared" si="8"/>
        <v/>
      </c>
    </row>
    <row r="483" spans="1:1" x14ac:dyDescent="0.25">
      <c r="A483" s="3" t="str">
        <f t="shared" si="8"/>
        <v/>
      </c>
    </row>
    <row r="484" spans="1:1" x14ac:dyDescent="0.25">
      <c r="A484" s="3" t="str">
        <f t="shared" si="8"/>
        <v/>
      </c>
    </row>
    <row r="485" spans="1:1" x14ac:dyDescent="0.25">
      <c r="A485" s="3" t="str">
        <f t="shared" si="8"/>
        <v/>
      </c>
    </row>
    <row r="486" spans="1:1" x14ac:dyDescent="0.25">
      <c r="A486" s="3" t="str">
        <f t="shared" si="8"/>
        <v/>
      </c>
    </row>
    <row r="487" spans="1:1" x14ac:dyDescent="0.25">
      <c r="A487" s="3" t="str">
        <f t="shared" si="8"/>
        <v/>
      </c>
    </row>
    <row r="488" spans="1:1" x14ac:dyDescent="0.25">
      <c r="A488" s="3" t="str">
        <f t="shared" si="8"/>
        <v/>
      </c>
    </row>
    <row r="489" spans="1:1" x14ac:dyDescent="0.25">
      <c r="A489" s="3" t="str">
        <f t="shared" si="8"/>
        <v/>
      </c>
    </row>
    <row r="490" spans="1:1" x14ac:dyDescent="0.25">
      <c r="A490" s="3" t="str">
        <f t="shared" si="8"/>
        <v/>
      </c>
    </row>
    <row r="491" spans="1:1" x14ac:dyDescent="0.25">
      <c r="A491" s="3" t="str">
        <f t="shared" si="8"/>
        <v/>
      </c>
    </row>
    <row r="492" spans="1:1" x14ac:dyDescent="0.25">
      <c r="A492" s="3" t="str">
        <f t="shared" si="8"/>
        <v/>
      </c>
    </row>
    <row r="493" spans="1:1" x14ac:dyDescent="0.25">
      <c r="A493" s="3" t="str">
        <f t="shared" si="8"/>
        <v/>
      </c>
    </row>
    <row r="494" spans="1:1" x14ac:dyDescent="0.25">
      <c r="A494" s="3" t="str">
        <f t="shared" si="8"/>
        <v/>
      </c>
    </row>
    <row r="495" spans="1:1" x14ac:dyDescent="0.25">
      <c r="A495" s="3" t="str">
        <f t="shared" si="8"/>
        <v/>
      </c>
    </row>
    <row r="496" spans="1:1" x14ac:dyDescent="0.25">
      <c r="A496" s="3" t="str">
        <f t="shared" si="8"/>
        <v/>
      </c>
    </row>
    <row r="497" spans="1:1" x14ac:dyDescent="0.25">
      <c r="A497" s="3" t="str">
        <f t="shared" si="8"/>
        <v/>
      </c>
    </row>
    <row r="498" spans="1:1" x14ac:dyDescent="0.25">
      <c r="A498" s="3" t="str">
        <f t="shared" si="8"/>
        <v/>
      </c>
    </row>
    <row r="499" spans="1:1" x14ac:dyDescent="0.25">
      <c r="A499" s="3" t="str">
        <f t="shared" si="8"/>
        <v/>
      </c>
    </row>
    <row r="500" spans="1:1" x14ac:dyDescent="0.25">
      <c r="A500" s="3" t="str">
        <f t="shared" si="8"/>
        <v/>
      </c>
    </row>
  </sheetData>
  <hyperlinks>
    <hyperlink ref="J312" r:id="rId1" display="lcignavitch@realwinwin.com"/>
    <hyperlink ref="Q74" r:id="rId2"/>
    <hyperlink ref="Q341" r:id="rId3"/>
    <hyperlink ref="Q340" r:id="rId4"/>
    <hyperlink ref="Q97" r:id="rId5"/>
    <hyperlink ref="Q269" r:id="rId6"/>
    <hyperlink ref="Q317" r:id="rId7" display="mailto:Cynthia.gintner@rexelusa.com"/>
    <hyperlink ref="Q277" r:id="rId8"/>
    <hyperlink ref="Q271" r:id="rId9"/>
    <hyperlink ref="Q312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Data</vt:lpstr>
      <vt:lpstr>Sponsor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2015-01-18T02:39:03Z</dcterms:created>
  <dcterms:modified xsi:type="dcterms:W3CDTF">2015-01-18T21:05:47Z</dcterms:modified>
</cp:coreProperties>
</file>